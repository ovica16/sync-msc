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Planning\Preventive Maintenance\Planes semanales\Programa Semanal 2026\Programa Eléctrico &amp; Instrumentación\"/>
    </mc:Choice>
  </mc:AlternateContent>
  <xr:revisionPtr revIDLastSave="0" documentId="13_ncr:1_{2132CF8B-2BBB-4FE4-9F63-71CE7BD15C06}" xr6:coauthVersionLast="47" xr6:coauthVersionMax="47" xr10:uidLastSave="{00000000-0000-0000-0000-000000000000}"/>
  <bookViews>
    <workbookView xWindow="-120" yWindow="-120" windowWidth="29040" windowHeight="15720" activeTab="1" xr2:uid="{F5D3F066-9622-41FE-99D9-C124ED1679F0}"/>
  </bookViews>
  <sheets>
    <sheet name="C-XX" sheetId="2" r:id="rId1"/>
    <sheet name="Programa" sheetId="1" r:id="rId2"/>
    <sheet name="C-20" sheetId="14" r:id="rId3"/>
    <sheet name="C-17" sheetId="12" r:id="rId4"/>
    <sheet name="C-16" sheetId="11" r:id="rId5"/>
    <sheet name="C-15" sheetId="10" r:id="rId6"/>
    <sheet name="C-14" sheetId="9" r:id="rId7"/>
    <sheet name="C-12" sheetId="8" r:id="rId8"/>
    <sheet name="C-08" sheetId="7" r:id="rId9"/>
    <sheet name="C-07" sheetId="6" r:id="rId10"/>
    <sheet name="C-06" sheetId="5" r:id="rId11"/>
    <sheet name="C-05" sheetId="4" r:id="rId12"/>
    <sheet name="C-02" sheetId="3" r:id="rId13"/>
  </sheets>
  <definedNames>
    <definedName name="_xlnm._FilterDatabase" localSheetId="12" hidden="1">'C-02'!$A$10:$K$113</definedName>
    <definedName name="_xlnm._FilterDatabase" localSheetId="11" hidden="1">'C-05'!$A$10:$K$113</definedName>
    <definedName name="_xlnm._FilterDatabase" localSheetId="10" hidden="1">'C-06'!$A$10:$K$113</definedName>
    <definedName name="_xlnm._FilterDatabase" localSheetId="8" hidden="1">'C-08'!$A$10:$K$113</definedName>
    <definedName name="_xlnm._FilterDatabase" localSheetId="7" hidden="1">'C-12'!$A$10:$K$113</definedName>
    <definedName name="_xlnm._FilterDatabase" localSheetId="6" hidden="1">'C-14'!$A$10:$K$113</definedName>
    <definedName name="_xlnm._FilterDatabase" localSheetId="5" hidden="1">'C-15'!$A$10:$K$113</definedName>
    <definedName name="_xlnm._FilterDatabase" localSheetId="4" hidden="1">'C-16'!$A$10:$K$113</definedName>
    <definedName name="_xlnm._FilterDatabase" localSheetId="3" hidden="1">'C-17'!$A$10:$K$113</definedName>
    <definedName name="_xlnm._FilterDatabase" localSheetId="2" hidden="1">'C-20'!$A$10:$K$113</definedName>
    <definedName name="_xlnm._FilterDatabase" localSheetId="0" hidden="1">'C-XX'!$A$10:$K$113</definedName>
    <definedName name="_xlnm._FilterDatabase" localSheetId="1" hidden="1">Programa!$A$1:$R$292</definedName>
    <definedName name="_xlnm.Print_Area" localSheetId="12">'C-02'!$A$8:$K$113</definedName>
    <definedName name="_xlnm.Print_Area" localSheetId="11">'C-05'!$A$8:$K$113</definedName>
    <definedName name="_xlnm.Print_Area" localSheetId="10">'C-06'!$A$8:$K$113</definedName>
    <definedName name="_xlnm.Print_Area" localSheetId="8">'C-08'!$A$8:$K$113</definedName>
    <definedName name="_xlnm.Print_Area" localSheetId="7">'C-12'!$A$8:$K$113</definedName>
    <definedName name="_xlnm.Print_Area" localSheetId="6">'C-14'!$A$8:$K$113</definedName>
    <definedName name="_xlnm.Print_Area" localSheetId="5">'C-15'!$A$8:$K$113</definedName>
    <definedName name="_xlnm.Print_Area" localSheetId="4">'C-16'!$A$8:$K$113</definedName>
    <definedName name="_xlnm.Print_Area" localSheetId="3">'C-17'!$A$8:$K$113</definedName>
    <definedName name="_xlnm.Print_Area" localSheetId="2">'C-20'!$A$8:$K$113</definedName>
    <definedName name="_xlnm.Print_Area" localSheetId="0">'C-XX'!$A$8:$K$113</definedName>
    <definedName name="_xlnm.Print_Area" localSheetId="1">Programa!$A$1:$O$157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7" i="1" l="1"/>
  <c r="L148" i="1"/>
  <c r="L149" i="1"/>
  <c r="L150" i="1"/>
  <c r="L151" i="1"/>
  <c r="L152" i="1"/>
  <c r="L153" i="1"/>
  <c r="L154" i="1"/>
  <c r="L146" i="1"/>
  <c r="L155" i="1"/>
  <c r="L156" i="1"/>
  <c r="L157" i="1"/>
  <c r="L159" i="1"/>
  <c r="L160" i="1"/>
  <c r="L161" i="1"/>
  <c r="L162" i="1"/>
  <c r="L163" i="1"/>
  <c r="L164" i="1"/>
  <c r="L165" i="1"/>
  <c r="L166" i="1"/>
  <c r="L168" i="1"/>
  <c r="L169" i="1"/>
  <c r="H113" i="14"/>
  <c r="J112" i="14"/>
  <c r="J111" i="14"/>
  <c r="J110" i="14"/>
  <c r="J109" i="14"/>
  <c r="J108" i="14"/>
  <c r="I107" i="14"/>
  <c r="J106" i="14"/>
  <c r="J105" i="14"/>
  <c r="J104" i="14"/>
  <c r="J103" i="14"/>
  <c r="J102" i="14"/>
  <c r="I101" i="14"/>
  <c r="H98" i="14"/>
  <c r="J97" i="14"/>
  <c r="J96" i="14"/>
  <c r="J95" i="14"/>
  <c r="J94" i="14"/>
  <c r="J93" i="14"/>
  <c r="I92" i="14"/>
  <c r="J92" i="14" s="1"/>
  <c r="J91" i="14"/>
  <c r="J90" i="14"/>
  <c r="J89" i="14"/>
  <c r="J88" i="14"/>
  <c r="J87" i="14"/>
  <c r="I86" i="14"/>
  <c r="H83" i="14"/>
  <c r="J82" i="14"/>
  <c r="J81" i="14"/>
  <c r="J80" i="14"/>
  <c r="J79" i="14"/>
  <c r="J78" i="14"/>
  <c r="I77" i="14"/>
  <c r="J76" i="14"/>
  <c r="J75" i="14"/>
  <c r="J74" i="14"/>
  <c r="J73" i="14"/>
  <c r="J72" i="14"/>
  <c r="I71" i="14"/>
  <c r="J71" i="14" s="1"/>
  <c r="H68" i="14"/>
  <c r="J67" i="14"/>
  <c r="J66" i="14"/>
  <c r="J65" i="14"/>
  <c r="J64" i="14"/>
  <c r="J63" i="14"/>
  <c r="I62" i="14"/>
  <c r="J61" i="14"/>
  <c r="J60" i="14"/>
  <c r="J59" i="14"/>
  <c r="J58" i="14"/>
  <c r="J57" i="14"/>
  <c r="K56" i="14" s="1"/>
  <c r="I56" i="14"/>
  <c r="H53" i="14"/>
  <c r="I53" i="14" s="1"/>
  <c r="J52" i="14"/>
  <c r="J51" i="14"/>
  <c r="J50" i="14"/>
  <c r="J49" i="14"/>
  <c r="J48" i="14"/>
  <c r="I47" i="14"/>
  <c r="J46" i="14"/>
  <c r="J45" i="14"/>
  <c r="J44" i="14"/>
  <c r="J43" i="14"/>
  <c r="J42" i="14"/>
  <c r="I41" i="14"/>
  <c r="H38" i="14"/>
  <c r="I38" i="14" s="1"/>
  <c r="J37" i="14"/>
  <c r="J36" i="14"/>
  <c r="J35" i="14"/>
  <c r="J34" i="14"/>
  <c r="J33" i="14"/>
  <c r="I32" i="14"/>
  <c r="J31" i="14"/>
  <c r="J30" i="14"/>
  <c r="J29" i="14"/>
  <c r="J28" i="14"/>
  <c r="J27" i="14"/>
  <c r="I26" i="14"/>
  <c r="E24" i="14"/>
  <c r="E39" i="14" s="1"/>
  <c r="E54" i="14" s="1"/>
  <c r="E69" i="14" s="1"/>
  <c r="E84" i="14" s="1"/>
  <c r="E99" i="14" s="1"/>
  <c r="H23" i="14"/>
  <c r="I23" i="14" s="1"/>
  <c r="J22" i="14"/>
  <c r="J21" i="14"/>
  <c r="J20" i="14"/>
  <c r="J19" i="14"/>
  <c r="J18" i="14"/>
  <c r="I17" i="14"/>
  <c r="J16" i="14"/>
  <c r="J15" i="14"/>
  <c r="J14" i="14"/>
  <c r="J13" i="14"/>
  <c r="J12" i="14"/>
  <c r="K11" i="14" s="1"/>
  <c r="I11" i="14"/>
  <c r="J11" i="14" s="1"/>
  <c r="F6" i="14"/>
  <c r="F5" i="14"/>
  <c r="F4" i="14"/>
  <c r="F3" i="14"/>
  <c r="D3" i="14"/>
  <c r="D2" i="14"/>
  <c r="D1" i="14"/>
  <c r="L124" i="1"/>
  <c r="L125" i="1"/>
  <c r="L126" i="1"/>
  <c r="L127" i="1"/>
  <c r="L128" i="1"/>
  <c r="L129" i="1"/>
  <c r="L130" i="1"/>
  <c r="L131" i="1"/>
  <c r="K32" i="14" l="1"/>
  <c r="K107" i="14"/>
  <c r="I83" i="14"/>
  <c r="D5" i="14"/>
  <c r="I68" i="14"/>
  <c r="D4" i="14"/>
  <c r="J17" i="14"/>
  <c r="J77" i="14"/>
  <c r="K77" i="14"/>
  <c r="K17" i="14"/>
  <c r="J32" i="14"/>
  <c r="J56" i="14"/>
  <c r="J98" i="14"/>
  <c r="J107" i="14"/>
  <c r="K92" i="14"/>
  <c r="J86" i="14"/>
  <c r="K62" i="14"/>
  <c r="J62" i="14"/>
  <c r="K47" i="14"/>
  <c r="J47" i="14"/>
  <c r="J38" i="14"/>
  <c r="K38" i="14" s="1"/>
  <c r="B2" i="14" s="1"/>
  <c r="J26" i="14"/>
  <c r="F1" i="14" s="1"/>
  <c r="K26" i="14"/>
  <c r="J83" i="14"/>
  <c r="K83" i="14" s="1"/>
  <c r="B5" i="14" s="1"/>
  <c r="K71" i="14"/>
  <c r="J41" i="14"/>
  <c r="K101" i="14"/>
  <c r="J101" i="14"/>
  <c r="J113" i="14"/>
  <c r="J68" i="14"/>
  <c r="J53" i="14"/>
  <c r="K41" i="14"/>
  <c r="I98" i="14"/>
  <c r="K98" i="14" s="1"/>
  <c r="B6" i="14" s="1"/>
  <c r="D6" i="14"/>
  <c r="K86" i="14"/>
  <c r="J23" i="14"/>
  <c r="K23" i="14" s="1"/>
  <c r="B1" i="14" s="1"/>
  <c r="I113" i="14"/>
  <c r="K113" i="14" s="1"/>
  <c r="B7" i="14" s="1"/>
  <c r="D7" i="14"/>
  <c r="F2" i="14"/>
  <c r="L123" i="1"/>
  <c r="L135" i="1"/>
  <c r="L136" i="1"/>
  <c r="L137" i="1"/>
  <c r="L133" i="1"/>
  <c r="L134" i="1"/>
  <c r="L144" i="1"/>
  <c r="L142" i="1"/>
  <c r="L143" i="1"/>
  <c r="L113" i="1"/>
  <c r="L114" i="1"/>
  <c r="L115" i="1"/>
  <c r="L116" i="1"/>
  <c r="L117" i="1"/>
  <c r="L118" i="1"/>
  <c r="L112" i="1"/>
  <c r="H113" i="12"/>
  <c r="I113" i="12" s="1"/>
  <c r="J112" i="12"/>
  <c r="J111" i="12"/>
  <c r="J110" i="12"/>
  <c r="J109" i="12"/>
  <c r="J108" i="12"/>
  <c r="I107" i="12"/>
  <c r="J106" i="12"/>
  <c r="J105" i="12"/>
  <c r="J104" i="12"/>
  <c r="J103" i="12"/>
  <c r="J102" i="12"/>
  <c r="K101" i="12" s="1"/>
  <c r="I101" i="12"/>
  <c r="H98" i="12"/>
  <c r="I98" i="12" s="1"/>
  <c r="J97" i="12"/>
  <c r="J96" i="12"/>
  <c r="J95" i="12"/>
  <c r="J94" i="12"/>
  <c r="J93" i="12"/>
  <c r="I92" i="12"/>
  <c r="J91" i="12"/>
  <c r="J90" i="12"/>
  <c r="J89" i="12"/>
  <c r="J88" i="12"/>
  <c r="J87" i="12"/>
  <c r="I86" i="12"/>
  <c r="H83" i="12"/>
  <c r="I83" i="12" s="1"/>
  <c r="J82" i="12"/>
  <c r="J81" i="12"/>
  <c r="J80" i="12"/>
  <c r="J79" i="12"/>
  <c r="J78" i="12"/>
  <c r="K77" i="12"/>
  <c r="I77" i="12"/>
  <c r="J77" i="12" s="1"/>
  <c r="J76" i="12"/>
  <c r="J75" i="12"/>
  <c r="J74" i="12"/>
  <c r="J73" i="12"/>
  <c r="J72" i="12"/>
  <c r="I71" i="12"/>
  <c r="H68" i="12"/>
  <c r="I68" i="12" s="1"/>
  <c r="J67" i="12"/>
  <c r="J66" i="12"/>
  <c r="J65" i="12"/>
  <c r="J64" i="12"/>
  <c r="J63" i="12"/>
  <c r="I62" i="12"/>
  <c r="J61" i="12"/>
  <c r="J60" i="12"/>
  <c r="J59" i="12"/>
  <c r="J58" i="12"/>
  <c r="J57" i="12"/>
  <c r="K56" i="12" s="1"/>
  <c r="I56" i="12"/>
  <c r="H53" i="12"/>
  <c r="D3" i="12" s="1"/>
  <c r="J52" i="12"/>
  <c r="J51" i="12"/>
  <c r="J50" i="12"/>
  <c r="J49" i="12"/>
  <c r="J48" i="12"/>
  <c r="I47" i="12"/>
  <c r="J46" i="12"/>
  <c r="J45" i="12"/>
  <c r="J44" i="12"/>
  <c r="J43" i="12"/>
  <c r="J42" i="12"/>
  <c r="I41" i="12"/>
  <c r="H38" i="12"/>
  <c r="D2" i="12" s="1"/>
  <c r="J37" i="12"/>
  <c r="J36" i="12"/>
  <c r="J35" i="12"/>
  <c r="J34" i="12"/>
  <c r="J33" i="12"/>
  <c r="I32" i="12"/>
  <c r="J32" i="12" s="1"/>
  <c r="J31" i="12"/>
  <c r="J30" i="12"/>
  <c r="J29" i="12"/>
  <c r="J28" i="12"/>
  <c r="J27" i="12"/>
  <c r="I26" i="12"/>
  <c r="E24" i="12"/>
  <c r="E39" i="12" s="1"/>
  <c r="E54" i="12" s="1"/>
  <c r="E69" i="12" s="1"/>
  <c r="E84" i="12" s="1"/>
  <c r="E99" i="12" s="1"/>
  <c r="H23" i="12"/>
  <c r="I23" i="12" s="1"/>
  <c r="J22" i="12"/>
  <c r="J21" i="12"/>
  <c r="J20" i="12"/>
  <c r="J19" i="12"/>
  <c r="J18" i="12"/>
  <c r="I17" i="12"/>
  <c r="J16" i="12"/>
  <c r="J15" i="12"/>
  <c r="J14" i="12"/>
  <c r="J13" i="12"/>
  <c r="J12" i="12"/>
  <c r="K11" i="12" s="1"/>
  <c r="I11" i="12"/>
  <c r="F6" i="12"/>
  <c r="D6" i="12"/>
  <c r="F5" i="12"/>
  <c r="F4" i="12"/>
  <c r="D4" i="12"/>
  <c r="F3" i="12"/>
  <c r="H113" i="11"/>
  <c r="I113" i="11" s="1"/>
  <c r="J112" i="11"/>
  <c r="J111" i="11"/>
  <c r="J110" i="11"/>
  <c r="J109" i="11"/>
  <c r="J108" i="11"/>
  <c r="I107" i="11"/>
  <c r="J106" i="11"/>
  <c r="J105" i="11"/>
  <c r="J104" i="11"/>
  <c r="J103" i="11"/>
  <c r="J102" i="11"/>
  <c r="I101" i="11"/>
  <c r="H98" i="11"/>
  <c r="I98" i="11" s="1"/>
  <c r="J97" i="11"/>
  <c r="J96" i="11"/>
  <c r="J95" i="11"/>
  <c r="J94" i="11"/>
  <c r="J93" i="11"/>
  <c r="I92" i="11"/>
  <c r="J91" i="11"/>
  <c r="J90" i="11"/>
  <c r="J89" i="11"/>
  <c r="J88" i="11"/>
  <c r="J87" i="11"/>
  <c r="I86" i="11"/>
  <c r="H83" i="11"/>
  <c r="D5" i="11" s="1"/>
  <c r="J82" i="11"/>
  <c r="J81" i="11"/>
  <c r="J80" i="11"/>
  <c r="J79" i="11"/>
  <c r="J78" i="11"/>
  <c r="I77" i="11"/>
  <c r="J76" i="11"/>
  <c r="J75" i="11"/>
  <c r="J74" i="11"/>
  <c r="J73" i="11"/>
  <c r="J72" i="11"/>
  <c r="I71" i="11"/>
  <c r="H68" i="11"/>
  <c r="I68" i="11" s="1"/>
  <c r="J67" i="11"/>
  <c r="J66" i="11"/>
  <c r="J65" i="11"/>
  <c r="J64" i="11"/>
  <c r="J63" i="11"/>
  <c r="I62" i="11"/>
  <c r="J61" i="11"/>
  <c r="J60" i="11"/>
  <c r="J59" i="11"/>
  <c r="J58" i="11"/>
  <c r="J57" i="11"/>
  <c r="I56" i="11"/>
  <c r="H53" i="11"/>
  <c r="I53" i="11" s="1"/>
  <c r="J52" i="11"/>
  <c r="J51" i="11"/>
  <c r="J50" i="11"/>
  <c r="J49" i="11"/>
  <c r="J48" i="11"/>
  <c r="K47" i="11"/>
  <c r="I47" i="11"/>
  <c r="J46" i="11"/>
  <c r="J45" i="11"/>
  <c r="J44" i="11"/>
  <c r="J43" i="11"/>
  <c r="J42" i="11"/>
  <c r="I41" i="11"/>
  <c r="H38" i="11"/>
  <c r="I38" i="11" s="1"/>
  <c r="J37" i="11"/>
  <c r="J36" i="11"/>
  <c r="J35" i="11"/>
  <c r="J34" i="11"/>
  <c r="J33" i="11"/>
  <c r="I32" i="11"/>
  <c r="J31" i="11"/>
  <c r="J30" i="11"/>
  <c r="J29" i="11"/>
  <c r="J28" i="11"/>
  <c r="J27" i="11"/>
  <c r="I26" i="11"/>
  <c r="E24" i="11"/>
  <c r="E39" i="11" s="1"/>
  <c r="E54" i="11" s="1"/>
  <c r="E69" i="11" s="1"/>
  <c r="E84" i="11" s="1"/>
  <c r="E99" i="11" s="1"/>
  <c r="H23" i="11"/>
  <c r="I23" i="11" s="1"/>
  <c r="J22" i="11"/>
  <c r="J21" i="11"/>
  <c r="J20" i="11"/>
  <c r="J19" i="11"/>
  <c r="J18" i="11"/>
  <c r="I17" i="11"/>
  <c r="J16" i="11"/>
  <c r="J15" i="11"/>
  <c r="J14" i="11"/>
  <c r="J13" i="11"/>
  <c r="J12" i="11"/>
  <c r="I11" i="11"/>
  <c r="F6" i="11"/>
  <c r="F5" i="11"/>
  <c r="F4" i="11"/>
  <c r="F3" i="11"/>
  <c r="L105" i="1"/>
  <c r="H113" i="10"/>
  <c r="I113" i="10" s="1"/>
  <c r="J112" i="10"/>
  <c r="J111" i="10"/>
  <c r="J110" i="10"/>
  <c r="J109" i="10"/>
  <c r="J108" i="10"/>
  <c r="I107" i="10"/>
  <c r="J106" i="10"/>
  <c r="J105" i="10"/>
  <c r="J104" i="10"/>
  <c r="J103" i="10"/>
  <c r="J102" i="10"/>
  <c r="I101" i="10"/>
  <c r="H98" i="10"/>
  <c r="I98" i="10" s="1"/>
  <c r="J97" i="10"/>
  <c r="J96" i="10"/>
  <c r="J95" i="10"/>
  <c r="J94" i="10"/>
  <c r="J93" i="10"/>
  <c r="I92" i="10"/>
  <c r="J91" i="10"/>
  <c r="J90" i="10"/>
  <c r="J89" i="10"/>
  <c r="J88" i="10"/>
  <c r="J87" i="10"/>
  <c r="I86" i="10"/>
  <c r="H83" i="10"/>
  <c r="I83" i="10" s="1"/>
  <c r="J82" i="10"/>
  <c r="J81" i="10"/>
  <c r="J80" i="10"/>
  <c r="J79" i="10"/>
  <c r="J78" i="10"/>
  <c r="I77" i="10"/>
  <c r="J76" i="10"/>
  <c r="J75" i="10"/>
  <c r="J74" i="10"/>
  <c r="J73" i="10"/>
  <c r="J72" i="10"/>
  <c r="I71" i="10"/>
  <c r="H68" i="10"/>
  <c r="I68" i="10" s="1"/>
  <c r="J67" i="10"/>
  <c r="J66" i="10"/>
  <c r="J65" i="10"/>
  <c r="J64" i="10"/>
  <c r="J63" i="10"/>
  <c r="I62" i="10"/>
  <c r="J61" i="10"/>
  <c r="J60" i="10"/>
  <c r="J59" i="10"/>
  <c r="J58" i="10"/>
  <c r="J57" i="10"/>
  <c r="I56" i="10"/>
  <c r="H53" i="10"/>
  <c r="D3" i="10" s="1"/>
  <c r="J52" i="10"/>
  <c r="J51" i="10"/>
  <c r="J50" i="10"/>
  <c r="J49" i="10"/>
  <c r="J48" i="10"/>
  <c r="I47" i="10"/>
  <c r="J46" i="10"/>
  <c r="J45" i="10"/>
  <c r="J44" i="10"/>
  <c r="J43" i="10"/>
  <c r="J42" i="10"/>
  <c r="I41" i="10"/>
  <c r="H38" i="10"/>
  <c r="I38" i="10" s="1"/>
  <c r="J37" i="10"/>
  <c r="J36" i="10"/>
  <c r="J35" i="10"/>
  <c r="J34" i="10"/>
  <c r="J33" i="10"/>
  <c r="I32" i="10"/>
  <c r="J31" i="10"/>
  <c r="J30" i="10"/>
  <c r="J29" i="10"/>
  <c r="J28" i="10"/>
  <c r="J27" i="10"/>
  <c r="I26" i="10"/>
  <c r="E24" i="10"/>
  <c r="E39" i="10" s="1"/>
  <c r="E54" i="10" s="1"/>
  <c r="E69" i="10" s="1"/>
  <c r="E84" i="10" s="1"/>
  <c r="E99" i="10" s="1"/>
  <c r="H23" i="10"/>
  <c r="I23" i="10" s="1"/>
  <c r="J22" i="10"/>
  <c r="J21" i="10"/>
  <c r="J20" i="10"/>
  <c r="J19" i="10"/>
  <c r="J18" i="10"/>
  <c r="K17" i="10" s="1"/>
  <c r="I17" i="10"/>
  <c r="J16" i="10"/>
  <c r="J15" i="10"/>
  <c r="J14" i="10"/>
  <c r="J13" i="10"/>
  <c r="J12" i="10"/>
  <c r="I11" i="10"/>
  <c r="F6" i="10"/>
  <c r="F5" i="10"/>
  <c r="F4" i="10"/>
  <c r="F3" i="10"/>
  <c r="H113" i="9"/>
  <c r="I113" i="9" s="1"/>
  <c r="J112" i="9"/>
  <c r="J111" i="9"/>
  <c r="J110" i="9"/>
  <c r="J109" i="9"/>
  <c r="J108" i="9"/>
  <c r="I107" i="9"/>
  <c r="J106" i="9"/>
  <c r="J105" i="9"/>
  <c r="J104" i="9"/>
  <c r="J103" i="9"/>
  <c r="J102" i="9"/>
  <c r="I101" i="9"/>
  <c r="H98" i="9"/>
  <c r="I98" i="9" s="1"/>
  <c r="J97" i="9"/>
  <c r="J96" i="9"/>
  <c r="J95" i="9"/>
  <c r="J94" i="9"/>
  <c r="J93" i="9"/>
  <c r="I92" i="9"/>
  <c r="J91" i="9"/>
  <c r="J90" i="9"/>
  <c r="J89" i="9"/>
  <c r="J88" i="9"/>
  <c r="J87" i="9"/>
  <c r="I86" i="9"/>
  <c r="H83" i="9"/>
  <c r="I83" i="9" s="1"/>
  <c r="J82" i="9"/>
  <c r="J81" i="9"/>
  <c r="J80" i="9"/>
  <c r="J79" i="9"/>
  <c r="J78" i="9"/>
  <c r="I77" i="9"/>
  <c r="J76" i="9"/>
  <c r="J75" i="9"/>
  <c r="J74" i="9"/>
  <c r="J73" i="9"/>
  <c r="J72" i="9"/>
  <c r="I71" i="9"/>
  <c r="H68" i="9"/>
  <c r="I68" i="9" s="1"/>
  <c r="J67" i="9"/>
  <c r="J66" i="9"/>
  <c r="J65" i="9"/>
  <c r="J64" i="9"/>
  <c r="J63" i="9"/>
  <c r="I62" i="9"/>
  <c r="J62" i="9" s="1"/>
  <c r="J61" i="9"/>
  <c r="J60" i="9"/>
  <c r="J59" i="9"/>
  <c r="J58" i="9"/>
  <c r="J57" i="9"/>
  <c r="I56" i="9"/>
  <c r="H53" i="9"/>
  <c r="I53" i="9" s="1"/>
  <c r="J52" i="9"/>
  <c r="J51" i="9"/>
  <c r="J50" i="9"/>
  <c r="J49" i="9"/>
  <c r="J48" i="9"/>
  <c r="J53" i="9" s="1"/>
  <c r="K53" i="9" s="1"/>
  <c r="B3" i="9" s="1"/>
  <c r="I47" i="9"/>
  <c r="J47" i="9" s="1"/>
  <c r="J46" i="9"/>
  <c r="J45" i="9"/>
  <c r="J44" i="9"/>
  <c r="J43" i="9"/>
  <c r="J42" i="9"/>
  <c r="I41" i="9"/>
  <c r="E39" i="9"/>
  <c r="E54" i="9" s="1"/>
  <c r="E69" i="9" s="1"/>
  <c r="E84" i="9" s="1"/>
  <c r="E99" i="9" s="1"/>
  <c r="H38" i="9"/>
  <c r="D2" i="9" s="1"/>
  <c r="J37" i="9"/>
  <c r="J36" i="9"/>
  <c r="J35" i="9"/>
  <c r="J34" i="9"/>
  <c r="J33" i="9"/>
  <c r="I32" i="9"/>
  <c r="J31" i="9"/>
  <c r="J30" i="9"/>
  <c r="J29" i="9"/>
  <c r="J28" i="9"/>
  <c r="J27" i="9"/>
  <c r="I26" i="9"/>
  <c r="E24" i="9"/>
  <c r="H23" i="9"/>
  <c r="I23" i="9" s="1"/>
  <c r="J22" i="9"/>
  <c r="J21" i="9"/>
  <c r="J20" i="9"/>
  <c r="J19" i="9"/>
  <c r="J18" i="9"/>
  <c r="K17" i="9" s="1"/>
  <c r="I17" i="9"/>
  <c r="J16" i="9"/>
  <c r="J15" i="9"/>
  <c r="J14" i="9"/>
  <c r="J13" i="9"/>
  <c r="J12" i="9"/>
  <c r="I11" i="9"/>
  <c r="D7" i="9"/>
  <c r="F6" i="9"/>
  <c r="D6" i="9"/>
  <c r="F5" i="9"/>
  <c r="F4" i="9"/>
  <c r="F3" i="9"/>
  <c r="D1" i="9"/>
  <c r="L82" i="1"/>
  <c r="H113" i="8"/>
  <c r="I113" i="8" s="1"/>
  <c r="J112" i="8"/>
  <c r="J111" i="8"/>
  <c r="J110" i="8"/>
  <c r="J109" i="8"/>
  <c r="J108" i="8"/>
  <c r="I107" i="8"/>
  <c r="J106" i="8"/>
  <c r="J105" i="8"/>
  <c r="J104" i="8"/>
  <c r="J103" i="8"/>
  <c r="J102" i="8"/>
  <c r="I101" i="8"/>
  <c r="H98" i="8"/>
  <c r="I98" i="8" s="1"/>
  <c r="J97" i="8"/>
  <c r="J96" i="8"/>
  <c r="J95" i="8"/>
  <c r="J94" i="8"/>
  <c r="J93" i="8"/>
  <c r="I92" i="8"/>
  <c r="J91" i="8"/>
  <c r="J90" i="8"/>
  <c r="J89" i="8"/>
  <c r="J88" i="8"/>
  <c r="J87" i="8"/>
  <c r="I86" i="8"/>
  <c r="H83" i="8"/>
  <c r="I83" i="8" s="1"/>
  <c r="J82" i="8"/>
  <c r="J81" i="8"/>
  <c r="J80" i="8"/>
  <c r="J79" i="8"/>
  <c r="J78" i="8"/>
  <c r="I77" i="8"/>
  <c r="J76" i="8"/>
  <c r="J75" i="8"/>
  <c r="J74" i="8"/>
  <c r="J73" i="8"/>
  <c r="J72" i="8"/>
  <c r="I71" i="8"/>
  <c r="H68" i="8"/>
  <c r="I68" i="8" s="1"/>
  <c r="J67" i="8"/>
  <c r="J66" i="8"/>
  <c r="J65" i="8"/>
  <c r="J64" i="8"/>
  <c r="J63" i="8"/>
  <c r="I62" i="8"/>
  <c r="J61" i="8"/>
  <c r="J60" i="8"/>
  <c r="J59" i="8"/>
  <c r="J58" i="8"/>
  <c r="J57" i="8"/>
  <c r="I56" i="8"/>
  <c r="H53" i="8"/>
  <c r="D3" i="8" s="1"/>
  <c r="J52" i="8"/>
  <c r="J51" i="8"/>
  <c r="J50" i="8"/>
  <c r="J49" i="8"/>
  <c r="J48" i="8"/>
  <c r="I47" i="8"/>
  <c r="J47" i="8" s="1"/>
  <c r="J46" i="8"/>
  <c r="J45" i="8"/>
  <c r="J44" i="8"/>
  <c r="J43" i="8"/>
  <c r="J42" i="8"/>
  <c r="I41" i="8"/>
  <c r="H38" i="8"/>
  <c r="D2" i="8" s="1"/>
  <c r="J37" i="8"/>
  <c r="J36" i="8"/>
  <c r="J35" i="8"/>
  <c r="J34" i="8"/>
  <c r="J33" i="8"/>
  <c r="I32" i="8"/>
  <c r="J31" i="8"/>
  <c r="J30" i="8"/>
  <c r="J29" i="8"/>
  <c r="J28" i="8"/>
  <c r="J27" i="8"/>
  <c r="I26" i="8"/>
  <c r="E24" i="8"/>
  <c r="E39" i="8" s="1"/>
  <c r="E54" i="8" s="1"/>
  <c r="E69" i="8" s="1"/>
  <c r="E84" i="8" s="1"/>
  <c r="E99" i="8" s="1"/>
  <c r="H23" i="8"/>
  <c r="I23" i="8" s="1"/>
  <c r="J22" i="8"/>
  <c r="J21" i="8"/>
  <c r="J20" i="8"/>
  <c r="J19" i="8"/>
  <c r="J18" i="8"/>
  <c r="I17" i="8"/>
  <c r="J16" i="8"/>
  <c r="J15" i="8"/>
  <c r="J14" i="8"/>
  <c r="J13" i="8"/>
  <c r="J12" i="8"/>
  <c r="I11" i="8"/>
  <c r="F6" i="8"/>
  <c r="D6" i="8"/>
  <c r="F5" i="8"/>
  <c r="F4" i="8"/>
  <c r="F3" i="8"/>
  <c r="L61" i="1"/>
  <c r="L62" i="1"/>
  <c r="L63" i="1"/>
  <c r="L60" i="1"/>
  <c r="K68" i="14" l="1"/>
  <c r="B4" i="14" s="1"/>
  <c r="E3" i="14"/>
  <c r="K53" i="14"/>
  <c r="B3" i="14" s="1"/>
  <c r="C1" i="14" s="1"/>
  <c r="C4" i="14" s="1"/>
  <c r="E1" i="14"/>
  <c r="E4" i="14"/>
  <c r="E2" i="14"/>
  <c r="K62" i="12"/>
  <c r="J17" i="12"/>
  <c r="J62" i="12"/>
  <c r="K32" i="12"/>
  <c r="J41" i="12"/>
  <c r="J107" i="12"/>
  <c r="K41" i="12"/>
  <c r="D1" i="12"/>
  <c r="J83" i="12"/>
  <c r="K83" i="12" s="1"/>
  <c r="B5" i="12" s="1"/>
  <c r="J68" i="12"/>
  <c r="K68" i="12" s="1"/>
  <c r="B4" i="12" s="1"/>
  <c r="J26" i="12"/>
  <c r="J38" i="12"/>
  <c r="K26" i="12"/>
  <c r="J53" i="12"/>
  <c r="J92" i="12"/>
  <c r="K47" i="12"/>
  <c r="D5" i="12"/>
  <c r="E2" i="12" s="1"/>
  <c r="K71" i="12"/>
  <c r="K92" i="12"/>
  <c r="J98" i="12"/>
  <c r="K98" i="12" s="1"/>
  <c r="B6" i="12" s="1"/>
  <c r="J101" i="12"/>
  <c r="J113" i="12"/>
  <c r="K113" i="12" s="1"/>
  <c r="B7" i="12" s="1"/>
  <c r="J71" i="12"/>
  <c r="J86" i="12"/>
  <c r="K86" i="12"/>
  <c r="J11" i="12"/>
  <c r="J23" i="12"/>
  <c r="D7" i="12"/>
  <c r="K17" i="12"/>
  <c r="K107" i="12"/>
  <c r="J47" i="12"/>
  <c r="I38" i="12"/>
  <c r="K38" i="12" s="1"/>
  <c r="B2" i="12" s="1"/>
  <c r="I53" i="12"/>
  <c r="J56" i="12"/>
  <c r="K101" i="11"/>
  <c r="D4" i="11"/>
  <c r="K32" i="11"/>
  <c r="J56" i="11"/>
  <c r="J32" i="11"/>
  <c r="J77" i="11"/>
  <c r="J101" i="11"/>
  <c r="J17" i="11"/>
  <c r="K17" i="11"/>
  <c r="D1" i="11"/>
  <c r="K62" i="11"/>
  <c r="D2" i="11"/>
  <c r="J92" i="11"/>
  <c r="K92" i="11"/>
  <c r="J41" i="11"/>
  <c r="J62" i="11"/>
  <c r="I83" i="11"/>
  <c r="J86" i="11"/>
  <c r="J107" i="11"/>
  <c r="J47" i="11"/>
  <c r="K56" i="11"/>
  <c r="J53" i="11"/>
  <c r="K53" i="11" s="1"/>
  <c r="B3" i="11" s="1"/>
  <c r="K41" i="11"/>
  <c r="K26" i="11"/>
  <c r="J38" i="11"/>
  <c r="K38" i="11" s="1"/>
  <c r="B2" i="11" s="1"/>
  <c r="J26" i="11"/>
  <c r="K11" i="11"/>
  <c r="J68" i="11"/>
  <c r="K68" i="11" s="1"/>
  <c r="B4" i="11" s="1"/>
  <c r="J113" i="11"/>
  <c r="K113" i="11" s="1"/>
  <c r="B7" i="11" s="1"/>
  <c r="J98" i="11"/>
  <c r="K98" i="11" s="1"/>
  <c r="B6" i="11" s="1"/>
  <c r="K71" i="11"/>
  <c r="J83" i="11"/>
  <c r="J71" i="11"/>
  <c r="D7" i="11"/>
  <c r="K86" i="11"/>
  <c r="J23" i="11"/>
  <c r="J11" i="11"/>
  <c r="K77" i="11"/>
  <c r="D6" i="11"/>
  <c r="K107" i="11"/>
  <c r="D3" i="11"/>
  <c r="D1" i="10"/>
  <c r="K32" i="10"/>
  <c r="J32" i="10"/>
  <c r="J56" i="10"/>
  <c r="K101" i="10"/>
  <c r="K56" i="10"/>
  <c r="J17" i="10"/>
  <c r="J62" i="10"/>
  <c r="J98" i="10"/>
  <c r="J41" i="10"/>
  <c r="J101" i="10"/>
  <c r="D4" i="10"/>
  <c r="J53" i="10"/>
  <c r="K71" i="10"/>
  <c r="K77" i="10"/>
  <c r="D7" i="10"/>
  <c r="K92" i="10"/>
  <c r="D6" i="10"/>
  <c r="K47" i="10"/>
  <c r="J77" i="10"/>
  <c r="J107" i="10"/>
  <c r="J47" i="10"/>
  <c r="J92" i="10"/>
  <c r="J113" i="10"/>
  <c r="K113" i="10" s="1"/>
  <c r="B7" i="10" s="1"/>
  <c r="J83" i="10"/>
  <c r="K83" i="10" s="1"/>
  <c r="B5" i="10" s="1"/>
  <c r="J71" i="10"/>
  <c r="J68" i="10"/>
  <c r="K68" i="10" s="1"/>
  <c r="B4" i="10" s="1"/>
  <c r="K41" i="10"/>
  <c r="J38" i="10"/>
  <c r="K38" i="10" s="1"/>
  <c r="B2" i="10" s="1"/>
  <c r="K26" i="10"/>
  <c r="J11" i="10"/>
  <c r="K11" i="10"/>
  <c r="J23" i="10"/>
  <c r="K23" i="10" s="1"/>
  <c r="B1" i="10" s="1"/>
  <c r="D5" i="10"/>
  <c r="J86" i="10"/>
  <c r="K98" i="10"/>
  <c r="B6" i="10" s="1"/>
  <c r="K86" i="10"/>
  <c r="K62" i="10"/>
  <c r="K107" i="10"/>
  <c r="I53" i="10"/>
  <c r="K53" i="10" s="1"/>
  <c r="B3" i="10" s="1"/>
  <c r="D2" i="10"/>
  <c r="J26" i="10"/>
  <c r="D4" i="9"/>
  <c r="K101" i="9"/>
  <c r="J17" i="9"/>
  <c r="J107" i="9"/>
  <c r="K32" i="9"/>
  <c r="J32" i="9"/>
  <c r="J77" i="9"/>
  <c r="J101" i="9"/>
  <c r="J56" i="9"/>
  <c r="K77" i="9"/>
  <c r="K56" i="9"/>
  <c r="K47" i="9"/>
  <c r="D3" i="9"/>
  <c r="J41" i="9"/>
  <c r="J98" i="9"/>
  <c r="K98" i="9" s="1"/>
  <c r="B6" i="9" s="1"/>
  <c r="J113" i="9"/>
  <c r="K113" i="9" s="1"/>
  <c r="B7" i="9" s="1"/>
  <c r="K62" i="9"/>
  <c r="K92" i="9"/>
  <c r="J11" i="9"/>
  <c r="D5" i="9"/>
  <c r="J26" i="9"/>
  <c r="J92" i="9"/>
  <c r="J71" i="9"/>
  <c r="J83" i="9"/>
  <c r="K83" i="9" s="1"/>
  <c r="B5" i="9" s="1"/>
  <c r="J68" i="9"/>
  <c r="K68" i="9" s="1"/>
  <c r="B4" i="9" s="1"/>
  <c r="K41" i="9"/>
  <c r="K26" i="9"/>
  <c r="J38" i="9"/>
  <c r="K11" i="9"/>
  <c r="J23" i="9"/>
  <c r="K23" i="9" s="1"/>
  <c r="B1" i="9" s="1"/>
  <c r="K71" i="9"/>
  <c r="J86" i="9"/>
  <c r="K86" i="9"/>
  <c r="K107" i="9"/>
  <c r="I38" i="9"/>
  <c r="D7" i="8"/>
  <c r="K86" i="8"/>
  <c r="J77" i="8"/>
  <c r="J11" i="8"/>
  <c r="J32" i="8"/>
  <c r="J56" i="8"/>
  <c r="K56" i="8"/>
  <c r="D4" i="8"/>
  <c r="J101" i="8"/>
  <c r="K107" i="8"/>
  <c r="K71" i="8"/>
  <c r="K101" i="8"/>
  <c r="J23" i="8"/>
  <c r="K23" i="8" s="1"/>
  <c r="B1" i="8" s="1"/>
  <c r="K41" i="8"/>
  <c r="K92" i="8"/>
  <c r="K11" i="8"/>
  <c r="J17" i="8"/>
  <c r="K32" i="8"/>
  <c r="K17" i="8"/>
  <c r="J62" i="8"/>
  <c r="J68" i="8"/>
  <c r="K68" i="8" s="1"/>
  <c r="B4" i="8" s="1"/>
  <c r="J92" i="8"/>
  <c r="D1" i="8"/>
  <c r="J113" i="8"/>
  <c r="K113" i="8" s="1"/>
  <c r="B7" i="8" s="1"/>
  <c r="J83" i="8"/>
  <c r="K83" i="8" s="1"/>
  <c r="B5" i="8" s="1"/>
  <c r="J71" i="8"/>
  <c r="J53" i="8"/>
  <c r="J41" i="8"/>
  <c r="J26" i="8"/>
  <c r="K26" i="8"/>
  <c r="J38" i="8"/>
  <c r="D5" i="8"/>
  <c r="K77" i="8"/>
  <c r="K47" i="8"/>
  <c r="K62" i="8"/>
  <c r="J107" i="8"/>
  <c r="J86" i="8"/>
  <c r="I38" i="8"/>
  <c r="I53" i="8"/>
  <c r="J98" i="8"/>
  <c r="K98" i="8" s="1"/>
  <c r="B6" i="8" s="1"/>
  <c r="H113" i="7"/>
  <c r="I113" i="7" s="1"/>
  <c r="J112" i="7"/>
  <c r="J111" i="7"/>
  <c r="J110" i="7"/>
  <c r="J109" i="7"/>
  <c r="J108" i="7"/>
  <c r="I107" i="7"/>
  <c r="J106" i="7"/>
  <c r="J105" i="7"/>
  <c r="J104" i="7"/>
  <c r="J103" i="7"/>
  <c r="J102" i="7"/>
  <c r="I101" i="7"/>
  <c r="H98" i="7"/>
  <c r="I98" i="7" s="1"/>
  <c r="J97" i="7"/>
  <c r="J96" i="7"/>
  <c r="J95" i="7"/>
  <c r="J94" i="7"/>
  <c r="J93" i="7"/>
  <c r="I92" i="7"/>
  <c r="J91" i="7"/>
  <c r="J90" i="7"/>
  <c r="J89" i="7"/>
  <c r="J88" i="7"/>
  <c r="J87" i="7"/>
  <c r="I86" i="7"/>
  <c r="H83" i="7"/>
  <c r="I83" i="7" s="1"/>
  <c r="J82" i="7"/>
  <c r="J81" i="7"/>
  <c r="J80" i="7"/>
  <c r="J79" i="7"/>
  <c r="J78" i="7"/>
  <c r="I77" i="7"/>
  <c r="J76" i="7"/>
  <c r="J75" i="7"/>
  <c r="J74" i="7"/>
  <c r="J73" i="7"/>
  <c r="J72" i="7"/>
  <c r="I71" i="7"/>
  <c r="H68" i="7"/>
  <c r="I68" i="7" s="1"/>
  <c r="J67" i="7"/>
  <c r="J66" i="7"/>
  <c r="J65" i="7"/>
  <c r="J64" i="7"/>
  <c r="J63" i="7"/>
  <c r="I62" i="7"/>
  <c r="J61" i="7"/>
  <c r="J60" i="7"/>
  <c r="J59" i="7"/>
  <c r="J58" i="7"/>
  <c r="J57" i="7"/>
  <c r="I56" i="7"/>
  <c r="H53" i="7"/>
  <c r="I53" i="7" s="1"/>
  <c r="J52" i="7"/>
  <c r="J51" i="7"/>
  <c r="J50" i="7"/>
  <c r="J49" i="7"/>
  <c r="J48" i="7"/>
  <c r="I47" i="7"/>
  <c r="J46" i="7"/>
  <c r="J45" i="7"/>
  <c r="J44" i="7"/>
  <c r="J43" i="7"/>
  <c r="J42" i="7"/>
  <c r="I41" i="7"/>
  <c r="E39" i="7"/>
  <c r="E54" i="7" s="1"/>
  <c r="E69" i="7" s="1"/>
  <c r="E84" i="7" s="1"/>
  <c r="E99" i="7" s="1"/>
  <c r="H38" i="7"/>
  <c r="I38" i="7" s="1"/>
  <c r="J37" i="7"/>
  <c r="J36" i="7"/>
  <c r="J35" i="7"/>
  <c r="J34" i="7"/>
  <c r="J33" i="7"/>
  <c r="I32" i="7"/>
  <c r="J31" i="7"/>
  <c r="J30" i="7"/>
  <c r="J29" i="7"/>
  <c r="J28" i="7"/>
  <c r="J27" i="7"/>
  <c r="J38" i="7" s="1"/>
  <c r="I26" i="7"/>
  <c r="E24" i="7"/>
  <c r="H23" i="7"/>
  <c r="I23" i="7" s="1"/>
  <c r="J22" i="7"/>
  <c r="J21" i="7"/>
  <c r="J20" i="7"/>
  <c r="J19" i="7"/>
  <c r="J18" i="7"/>
  <c r="I17" i="7"/>
  <c r="J16" i="7"/>
  <c r="J15" i="7"/>
  <c r="J14" i="7"/>
  <c r="J13" i="7"/>
  <c r="J12" i="7"/>
  <c r="I11" i="7"/>
  <c r="D7" i="7"/>
  <c r="F6" i="7"/>
  <c r="F5" i="7"/>
  <c r="F4" i="7"/>
  <c r="F3" i="7"/>
  <c r="I107" i="6"/>
  <c r="J107" i="6" s="1"/>
  <c r="I92" i="6"/>
  <c r="J92" i="6" s="1"/>
  <c r="I77" i="6"/>
  <c r="J77" i="6" s="1"/>
  <c r="I62" i="6"/>
  <c r="J62" i="6" s="1"/>
  <c r="I47" i="6"/>
  <c r="J47" i="6" s="1"/>
  <c r="I32" i="6"/>
  <c r="J32" i="6" s="1"/>
  <c r="J17" i="6"/>
  <c r="I17" i="6"/>
  <c r="I107" i="5"/>
  <c r="J107" i="5" s="1"/>
  <c r="I92" i="5"/>
  <c r="J92" i="5" s="1"/>
  <c r="I77" i="5"/>
  <c r="J77" i="5" s="1"/>
  <c r="I62" i="5"/>
  <c r="J62" i="5" s="1"/>
  <c r="J47" i="5"/>
  <c r="I47" i="5"/>
  <c r="I32" i="5"/>
  <c r="J32" i="5" s="1"/>
  <c r="I17" i="5"/>
  <c r="J17" i="5" s="1"/>
  <c r="J102" i="6"/>
  <c r="J72" i="6"/>
  <c r="K71" i="6" s="1"/>
  <c r="J57" i="6"/>
  <c r="J42" i="6"/>
  <c r="K41" i="6" s="1"/>
  <c r="J27" i="6"/>
  <c r="H113" i="6"/>
  <c r="I113" i="6" s="1"/>
  <c r="J112" i="6"/>
  <c r="J111" i="6"/>
  <c r="J110" i="6"/>
  <c r="J109" i="6"/>
  <c r="J108" i="6"/>
  <c r="J113" i="6" s="1"/>
  <c r="K107" i="6"/>
  <c r="J106" i="6"/>
  <c r="J105" i="6"/>
  <c r="J104" i="6"/>
  <c r="J103" i="6"/>
  <c r="K101" i="6"/>
  <c r="I101" i="6"/>
  <c r="J101" i="6" s="1"/>
  <c r="J98" i="6"/>
  <c r="H98" i="6"/>
  <c r="I98" i="6" s="1"/>
  <c r="J97" i="6"/>
  <c r="J96" i="6"/>
  <c r="J95" i="6"/>
  <c r="J94" i="6"/>
  <c r="J93" i="6"/>
  <c r="K92" i="6" s="1"/>
  <c r="J91" i="6"/>
  <c r="J90" i="6"/>
  <c r="K86" i="6"/>
  <c r="I86" i="6"/>
  <c r="J86" i="6" s="1"/>
  <c r="H83" i="6"/>
  <c r="I83" i="6" s="1"/>
  <c r="J82" i="6"/>
  <c r="J81" i="6"/>
  <c r="J80" i="6"/>
  <c r="J79" i="6"/>
  <c r="J78" i="6"/>
  <c r="K77" i="6" s="1"/>
  <c r="J76" i="6"/>
  <c r="J75" i="6"/>
  <c r="J74" i="6"/>
  <c r="J73" i="6"/>
  <c r="I71" i="6"/>
  <c r="H68" i="6"/>
  <c r="I68" i="6" s="1"/>
  <c r="J67" i="6"/>
  <c r="J66" i="6"/>
  <c r="J65" i="6"/>
  <c r="J64" i="6"/>
  <c r="J63" i="6"/>
  <c r="J68" i="6" s="1"/>
  <c r="K62" i="6"/>
  <c r="J61" i="6"/>
  <c r="J60" i="6"/>
  <c r="J59" i="6"/>
  <c r="J58" i="6"/>
  <c r="K56" i="6"/>
  <c r="I56" i="6"/>
  <c r="J56" i="6" s="1"/>
  <c r="H53" i="6"/>
  <c r="I53" i="6" s="1"/>
  <c r="J52" i="6"/>
  <c r="J51" i="6"/>
  <c r="J50" i="6"/>
  <c r="J49" i="6"/>
  <c r="J48" i="6"/>
  <c r="K47" i="6"/>
  <c r="J46" i="6"/>
  <c r="J45" i="6"/>
  <c r="J44" i="6"/>
  <c r="J43" i="6"/>
  <c r="I41" i="6"/>
  <c r="H38" i="6"/>
  <c r="I38" i="6" s="1"/>
  <c r="J37" i="6"/>
  <c r="J36" i="6"/>
  <c r="J35" i="6"/>
  <c r="J34" i="6"/>
  <c r="J33" i="6"/>
  <c r="K32" i="6"/>
  <c r="J31" i="6"/>
  <c r="J30" i="6"/>
  <c r="J29" i="6"/>
  <c r="K26" i="6"/>
  <c r="I26" i="6"/>
  <c r="J26" i="6" s="1"/>
  <c r="E24" i="6"/>
  <c r="E39" i="6" s="1"/>
  <c r="E54" i="6" s="1"/>
  <c r="E69" i="6" s="1"/>
  <c r="E84" i="6" s="1"/>
  <c r="E99" i="6" s="1"/>
  <c r="J23" i="6"/>
  <c r="H23" i="6"/>
  <c r="I23" i="6" s="1"/>
  <c r="J22" i="6"/>
  <c r="J21" i="6"/>
  <c r="J20" i="6"/>
  <c r="J19" i="6"/>
  <c r="J18" i="6"/>
  <c r="K17" i="6"/>
  <c r="J16" i="6"/>
  <c r="J15" i="6"/>
  <c r="J14" i="6"/>
  <c r="J13" i="6"/>
  <c r="J12" i="6"/>
  <c r="K11" i="6"/>
  <c r="I11" i="6"/>
  <c r="J11" i="6" s="1"/>
  <c r="F6" i="6"/>
  <c r="F5" i="6"/>
  <c r="F4" i="6"/>
  <c r="F3" i="6"/>
  <c r="D3" i="6"/>
  <c r="D1" i="6"/>
  <c r="K53" i="12" l="1"/>
  <c r="B3" i="12" s="1"/>
  <c r="E3" i="12"/>
  <c r="F2" i="12"/>
  <c r="E4" i="12"/>
  <c r="K23" i="12"/>
  <c r="B1" i="12" s="1"/>
  <c r="F1" i="12"/>
  <c r="E1" i="12" s="1"/>
  <c r="C1" i="12"/>
  <c r="C4" i="12" s="1"/>
  <c r="K83" i="11"/>
  <c r="B5" i="11" s="1"/>
  <c r="F2" i="11"/>
  <c r="F1" i="11"/>
  <c r="E3" i="11"/>
  <c r="K23" i="11"/>
  <c r="B1" i="11" s="1"/>
  <c r="E4" i="11"/>
  <c r="C1" i="11"/>
  <c r="C4" i="11" s="1"/>
  <c r="E2" i="11"/>
  <c r="F2" i="10"/>
  <c r="E3" i="10"/>
  <c r="F1" i="10"/>
  <c r="E1" i="10" s="1"/>
  <c r="E4" i="10"/>
  <c r="C1" i="10"/>
  <c r="C4" i="10" s="1"/>
  <c r="E2" i="10"/>
  <c r="E2" i="9"/>
  <c r="F2" i="9"/>
  <c r="F1" i="9"/>
  <c r="E1" i="9" s="1"/>
  <c r="E4" i="9"/>
  <c r="K38" i="9"/>
  <c r="B2" i="9" s="1"/>
  <c r="E3" i="9"/>
  <c r="C1" i="9"/>
  <c r="C4" i="9" s="1"/>
  <c r="K38" i="8"/>
  <c r="B2" i="8" s="1"/>
  <c r="F2" i="8"/>
  <c r="K53" i="8"/>
  <c r="B3" i="8" s="1"/>
  <c r="E2" i="8"/>
  <c r="F1" i="8"/>
  <c r="E3" i="8"/>
  <c r="E4" i="8"/>
  <c r="K71" i="7"/>
  <c r="J47" i="7"/>
  <c r="J71" i="7"/>
  <c r="K47" i="7"/>
  <c r="D6" i="7"/>
  <c r="J32" i="7"/>
  <c r="J77" i="7"/>
  <c r="K101" i="7"/>
  <c r="K17" i="7"/>
  <c r="J86" i="7"/>
  <c r="K92" i="7"/>
  <c r="K86" i="7"/>
  <c r="D2" i="7"/>
  <c r="J83" i="7"/>
  <c r="K83" i="7" s="1"/>
  <c r="B5" i="7" s="1"/>
  <c r="J17" i="7"/>
  <c r="J101" i="7"/>
  <c r="K77" i="7"/>
  <c r="K32" i="7"/>
  <c r="J92" i="7"/>
  <c r="D1" i="7"/>
  <c r="J62" i="7"/>
  <c r="K62" i="7"/>
  <c r="D3" i="7"/>
  <c r="K38" i="7"/>
  <c r="B2" i="7" s="1"/>
  <c r="J107" i="7"/>
  <c r="J98" i="7"/>
  <c r="K98" i="7" s="1"/>
  <c r="B6" i="7" s="1"/>
  <c r="J113" i="7"/>
  <c r="K113" i="7" s="1"/>
  <c r="B7" i="7" s="1"/>
  <c r="D5" i="7"/>
  <c r="J41" i="7"/>
  <c r="J53" i="7"/>
  <c r="K53" i="7" s="1"/>
  <c r="B3" i="7" s="1"/>
  <c r="K41" i="7"/>
  <c r="J26" i="7"/>
  <c r="K26" i="7"/>
  <c r="K11" i="7"/>
  <c r="K56" i="7"/>
  <c r="J56" i="7"/>
  <c r="J68" i="7"/>
  <c r="K68" i="7" s="1"/>
  <c r="B4" i="7" s="1"/>
  <c r="D4" i="7"/>
  <c r="K107" i="7"/>
  <c r="J23" i="7"/>
  <c r="J11" i="7"/>
  <c r="D6" i="6"/>
  <c r="D7" i="6"/>
  <c r="K113" i="6"/>
  <c r="B7" i="6" s="1"/>
  <c r="D5" i="6"/>
  <c r="J71" i="6"/>
  <c r="F1" i="6" s="1"/>
  <c r="J83" i="6"/>
  <c r="K83" i="6" s="1"/>
  <c r="B5" i="6" s="1"/>
  <c r="D2" i="6"/>
  <c r="D4" i="6"/>
  <c r="K68" i="6"/>
  <c r="B4" i="6" s="1"/>
  <c r="J53" i="6"/>
  <c r="K53" i="6" s="1"/>
  <c r="B3" i="6" s="1"/>
  <c r="J41" i="6"/>
  <c r="J38" i="6"/>
  <c r="K38" i="6"/>
  <c r="B2" i="6" s="1"/>
  <c r="K98" i="6"/>
  <c r="B6" i="6" s="1"/>
  <c r="K23" i="6"/>
  <c r="B1" i="6" s="1"/>
  <c r="F2" i="6"/>
  <c r="E1" i="11" l="1"/>
  <c r="C1" i="8"/>
  <c r="C4" i="8" s="1"/>
  <c r="E1" i="8"/>
  <c r="F1" i="7"/>
  <c r="E2" i="7"/>
  <c r="F2" i="7"/>
  <c r="E3" i="7"/>
  <c r="K23" i="7"/>
  <c r="B1" i="7" s="1"/>
  <c r="C1" i="7" s="1"/>
  <c r="C4" i="7" s="1"/>
  <c r="E4" i="7"/>
  <c r="E4" i="6"/>
  <c r="E3" i="6"/>
  <c r="E2" i="6"/>
  <c r="C1" i="6"/>
  <c r="C4" i="6" s="1"/>
  <c r="E1" i="6"/>
  <c r="E1" i="7" l="1"/>
  <c r="L48" i="1"/>
  <c r="L49" i="1"/>
  <c r="L50" i="1"/>
  <c r="L47" i="1"/>
  <c r="L52" i="1"/>
  <c r="L53" i="1"/>
  <c r="L55" i="1"/>
  <c r="L56" i="1"/>
  <c r="L57" i="1"/>
  <c r="L58" i="1"/>
  <c r="H113" i="5"/>
  <c r="J112" i="5"/>
  <c r="J111" i="5"/>
  <c r="J110" i="5"/>
  <c r="J109" i="5"/>
  <c r="J108" i="5"/>
  <c r="J106" i="5"/>
  <c r="J105" i="5"/>
  <c r="K101" i="5" s="1"/>
  <c r="J104" i="5"/>
  <c r="J103" i="5"/>
  <c r="J102" i="5"/>
  <c r="I101" i="5"/>
  <c r="H98" i="5"/>
  <c r="J97" i="5"/>
  <c r="J96" i="5"/>
  <c r="J95" i="5"/>
  <c r="J94" i="5"/>
  <c r="J93" i="5"/>
  <c r="J91" i="5"/>
  <c r="J90" i="5"/>
  <c r="J89" i="5"/>
  <c r="J88" i="5"/>
  <c r="J87" i="5"/>
  <c r="I86" i="5"/>
  <c r="H83" i="5"/>
  <c r="J82" i="5"/>
  <c r="J81" i="5"/>
  <c r="J80" i="5"/>
  <c r="J79" i="5"/>
  <c r="J78" i="5"/>
  <c r="J76" i="5"/>
  <c r="J75" i="5"/>
  <c r="J74" i="5"/>
  <c r="J73" i="5"/>
  <c r="J72" i="5"/>
  <c r="I71" i="5"/>
  <c r="H68" i="5"/>
  <c r="J67" i="5"/>
  <c r="J66" i="5"/>
  <c r="J65" i="5"/>
  <c r="J64" i="5"/>
  <c r="J63" i="5"/>
  <c r="J61" i="5"/>
  <c r="J60" i="5"/>
  <c r="J59" i="5"/>
  <c r="J58" i="5"/>
  <c r="J57" i="5"/>
  <c r="I56" i="5"/>
  <c r="H53" i="5"/>
  <c r="J52" i="5"/>
  <c r="J51" i="5"/>
  <c r="J50" i="5"/>
  <c r="J49" i="5"/>
  <c r="J48" i="5"/>
  <c r="J46" i="5"/>
  <c r="J45" i="5"/>
  <c r="J44" i="5"/>
  <c r="J43" i="5"/>
  <c r="J42" i="5"/>
  <c r="I41" i="5"/>
  <c r="H38" i="5"/>
  <c r="J37" i="5"/>
  <c r="J36" i="5"/>
  <c r="J35" i="5"/>
  <c r="J34" i="5"/>
  <c r="J33" i="5"/>
  <c r="J31" i="5"/>
  <c r="J30" i="5"/>
  <c r="J29" i="5"/>
  <c r="J28" i="5"/>
  <c r="J27" i="5"/>
  <c r="I26" i="5"/>
  <c r="E24" i="5"/>
  <c r="E39" i="5" s="1"/>
  <c r="E54" i="5" s="1"/>
  <c r="E69" i="5" s="1"/>
  <c r="E84" i="5" s="1"/>
  <c r="E99" i="5" s="1"/>
  <c r="H23" i="5"/>
  <c r="J22" i="5"/>
  <c r="J21" i="5"/>
  <c r="J20" i="5"/>
  <c r="J19" i="5"/>
  <c r="J18" i="5"/>
  <c r="J16" i="5"/>
  <c r="J15" i="5"/>
  <c r="J14" i="5"/>
  <c r="J13" i="5"/>
  <c r="J12" i="5"/>
  <c r="I11" i="5"/>
  <c r="F6" i="5"/>
  <c r="F5" i="5"/>
  <c r="F4" i="5"/>
  <c r="F3" i="5"/>
  <c r="H113" i="4"/>
  <c r="J112" i="4"/>
  <c r="J111" i="4"/>
  <c r="J110" i="4"/>
  <c r="J109" i="4"/>
  <c r="J108" i="4"/>
  <c r="I107" i="4"/>
  <c r="J106" i="4"/>
  <c r="J105" i="4"/>
  <c r="J104" i="4"/>
  <c r="J103" i="4"/>
  <c r="J102" i="4"/>
  <c r="I101" i="4"/>
  <c r="H98" i="4"/>
  <c r="J97" i="4"/>
  <c r="J96" i="4"/>
  <c r="J95" i="4"/>
  <c r="J94" i="4"/>
  <c r="J93" i="4"/>
  <c r="I92" i="4"/>
  <c r="J91" i="4"/>
  <c r="J90" i="4"/>
  <c r="J89" i="4"/>
  <c r="J88" i="4"/>
  <c r="J87" i="4"/>
  <c r="I86" i="4"/>
  <c r="H83" i="4"/>
  <c r="I83" i="4" s="1"/>
  <c r="J82" i="4"/>
  <c r="J81" i="4"/>
  <c r="J80" i="4"/>
  <c r="J79" i="4"/>
  <c r="J78" i="4"/>
  <c r="I77" i="4"/>
  <c r="J76" i="4"/>
  <c r="J75" i="4"/>
  <c r="J74" i="4"/>
  <c r="J73" i="4"/>
  <c r="J72" i="4"/>
  <c r="I71" i="4"/>
  <c r="H68" i="4"/>
  <c r="J67" i="4"/>
  <c r="J66" i="4"/>
  <c r="J65" i="4"/>
  <c r="J64" i="4"/>
  <c r="J63" i="4"/>
  <c r="I62" i="4"/>
  <c r="J61" i="4"/>
  <c r="J60" i="4"/>
  <c r="J59" i="4"/>
  <c r="J58" i="4"/>
  <c r="J57" i="4"/>
  <c r="I56" i="4"/>
  <c r="H53" i="4"/>
  <c r="J52" i="4"/>
  <c r="J51" i="4"/>
  <c r="J50" i="4"/>
  <c r="J49" i="4"/>
  <c r="J48" i="4"/>
  <c r="I47" i="4"/>
  <c r="J47" i="4" s="1"/>
  <c r="J46" i="4"/>
  <c r="J45" i="4"/>
  <c r="J44" i="4"/>
  <c r="J43" i="4"/>
  <c r="J42" i="4"/>
  <c r="I41" i="4"/>
  <c r="H38" i="4"/>
  <c r="J37" i="4"/>
  <c r="J36" i="4"/>
  <c r="J35" i="4"/>
  <c r="J34" i="4"/>
  <c r="J33" i="4"/>
  <c r="I32" i="4"/>
  <c r="J31" i="4"/>
  <c r="J30" i="4"/>
  <c r="J29" i="4"/>
  <c r="J28" i="4"/>
  <c r="J27" i="4"/>
  <c r="I26" i="4"/>
  <c r="E24" i="4"/>
  <c r="E39" i="4" s="1"/>
  <c r="E54" i="4" s="1"/>
  <c r="E69" i="4" s="1"/>
  <c r="E84" i="4" s="1"/>
  <c r="E99" i="4" s="1"/>
  <c r="H23" i="4"/>
  <c r="J22" i="4"/>
  <c r="J21" i="4"/>
  <c r="J20" i="4"/>
  <c r="J19" i="4"/>
  <c r="J18" i="4"/>
  <c r="I17" i="4"/>
  <c r="J16" i="4"/>
  <c r="J15" i="4"/>
  <c r="J14" i="4"/>
  <c r="J13" i="4"/>
  <c r="J12" i="4"/>
  <c r="I11" i="4"/>
  <c r="F6" i="4"/>
  <c r="F5" i="4"/>
  <c r="D5" i="4"/>
  <c r="F4" i="4"/>
  <c r="F3" i="4"/>
  <c r="L35" i="1"/>
  <c r="L36" i="1"/>
  <c r="L37" i="1"/>
  <c r="L38" i="1"/>
  <c r="L39" i="1"/>
  <c r="L34" i="1"/>
  <c r="L29" i="1"/>
  <c r="L30" i="1"/>
  <c r="L31" i="1"/>
  <c r="L32" i="1"/>
  <c r="L28" i="1"/>
  <c r="L19" i="1"/>
  <c r="L20" i="1"/>
  <c r="L21" i="1"/>
  <c r="L22" i="1"/>
  <c r="L23" i="1"/>
  <c r="L24" i="1"/>
  <c r="L25" i="1"/>
  <c r="L18" i="1"/>
  <c r="K77" i="5" l="1"/>
  <c r="K47" i="5"/>
  <c r="K11" i="5"/>
  <c r="I113" i="5"/>
  <c r="K113" i="5" s="1"/>
  <c r="B7" i="5" s="1"/>
  <c r="D7" i="5"/>
  <c r="K107" i="5"/>
  <c r="J113" i="5"/>
  <c r="J101" i="5"/>
  <c r="K32" i="5"/>
  <c r="J56" i="5"/>
  <c r="J41" i="5"/>
  <c r="K92" i="5"/>
  <c r="K62" i="5"/>
  <c r="K56" i="5"/>
  <c r="F2" i="5"/>
  <c r="K26" i="5"/>
  <c r="J83" i="5"/>
  <c r="I68" i="5"/>
  <c r="D4" i="5"/>
  <c r="D3" i="5"/>
  <c r="I53" i="5"/>
  <c r="I23" i="5"/>
  <c r="D1" i="5"/>
  <c r="I98" i="5"/>
  <c r="D6" i="5"/>
  <c r="I83" i="5"/>
  <c r="D5" i="5"/>
  <c r="J98" i="5"/>
  <c r="J71" i="5"/>
  <c r="K71" i="5"/>
  <c r="J68" i="5"/>
  <c r="K68" i="5" s="1"/>
  <c r="B4" i="5" s="1"/>
  <c r="J53" i="5"/>
  <c r="K53" i="5" s="1"/>
  <c r="B3" i="5" s="1"/>
  <c r="K41" i="5"/>
  <c r="K86" i="5"/>
  <c r="J86" i="5"/>
  <c r="I38" i="5"/>
  <c r="D2" i="5"/>
  <c r="J38" i="5"/>
  <c r="K38" i="5" s="1"/>
  <c r="B2" i="5" s="1"/>
  <c r="J26" i="5"/>
  <c r="J11" i="5"/>
  <c r="J23" i="5"/>
  <c r="K17" i="5"/>
  <c r="J77" i="4"/>
  <c r="K101" i="4"/>
  <c r="K41" i="4"/>
  <c r="K107" i="4"/>
  <c r="K26" i="4"/>
  <c r="J32" i="4"/>
  <c r="J107" i="4"/>
  <c r="J113" i="4"/>
  <c r="J71" i="4"/>
  <c r="J41" i="4"/>
  <c r="K92" i="4"/>
  <c r="K71" i="4"/>
  <c r="J26" i="4"/>
  <c r="K17" i="4"/>
  <c r="I68" i="4"/>
  <c r="D4" i="4"/>
  <c r="I53" i="4"/>
  <c r="D3" i="4"/>
  <c r="I38" i="4"/>
  <c r="D2" i="4"/>
  <c r="J92" i="4"/>
  <c r="J17" i="4"/>
  <c r="F2" i="4" s="1"/>
  <c r="J86" i="4"/>
  <c r="K32" i="4"/>
  <c r="J101" i="4"/>
  <c r="J62" i="4"/>
  <c r="J23" i="4"/>
  <c r="K23" i="4" s="1"/>
  <c r="B1" i="4" s="1"/>
  <c r="I98" i="4"/>
  <c r="D6" i="4"/>
  <c r="I23" i="4"/>
  <c r="D1" i="4"/>
  <c r="K56" i="4"/>
  <c r="J56" i="4"/>
  <c r="J38" i="4"/>
  <c r="K11" i="4"/>
  <c r="J11" i="4"/>
  <c r="F1" i="4" s="1"/>
  <c r="I113" i="4"/>
  <c r="K113" i="4" s="1"/>
  <c r="B7" i="4" s="1"/>
  <c r="D7" i="4"/>
  <c r="K86" i="4"/>
  <c r="J98" i="4"/>
  <c r="K98" i="4" s="1"/>
  <c r="B6" i="4" s="1"/>
  <c r="J83" i="4"/>
  <c r="K83" i="4" s="1"/>
  <c r="B5" i="4" s="1"/>
  <c r="K77" i="4"/>
  <c r="J68" i="4"/>
  <c r="K62" i="4"/>
  <c r="K47" i="4"/>
  <c r="J53" i="4"/>
  <c r="K53" i="4" s="1"/>
  <c r="B3" i="4" s="1"/>
  <c r="K38" i="4"/>
  <c r="B2" i="4" s="1"/>
  <c r="E2" i="4"/>
  <c r="L15" i="1"/>
  <c r="H113" i="3"/>
  <c r="I113" i="3" s="1"/>
  <c r="J112" i="3"/>
  <c r="J111" i="3"/>
  <c r="J110" i="3"/>
  <c r="J109" i="3"/>
  <c r="J108" i="3"/>
  <c r="I107" i="3"/>
  <c r="J106" i="3"/>
  <c r="J105" i="3"/>
  <c r="J104" i="3"/>
  <c r="J103" i="3"/>
  <c r="J102" i="3"/>
  <c r="I101" i="3"/>
  <c r="H98" i="3"/>
  <c r="J97" i="3"/>
  <c r="J96" i="3"/>
  <c r="J95" i="3"/>
  <c r="J94" i="3"/>
  <c r="J93" i="3"/>
  <c r="I92" i="3"/>
  <c r="J91" i="3"/>
  <c r="J90" i="3"/>
  <c r="J89" i="3"/>
  <c r="J88" i="3"/>
  <c r="J87" i="3"/>
  <c r="I86" i="3"/>
  <c r="H83" i="3"/>
  <c r="J82" i="3"/>
  <c r="J81" i="3"/>
  <c r="J80" i="3"/>
  <c r="J79" i="3"/>
  <c r="J78" i="3"/>
  <c r="I77" i="3"/>
  <c r="J76" i="3"/>
  <c r="J75" i="3"/>
  <c r="J74" i="3"/>
  <c r="J73" i="3"/>
  <c r="J72" i="3"/>
  <c r="I71" i="3"/>
  <c r="H68" i="3"/>
  <c r="J67" i="3"/>
  <c r="J66" i="3"/>
  <c r="J65" i="3"/>
  <c r="J64" i="3"/>
  <c r="J63" i="3"/>
  <c r="I62" i="3"/>
  <c r="J61" i="3"/>
  <c r="J60" i="3"/>
  <c r="J59" i="3"/>
  <c r="J58" i="3"/>
  <c r="J57" i="3"/>
  <c r="I56" i="3"/>
  <c r="H53" i="3"/>
  <c r="J52" i="3"/>
  <c r="J51" i="3"/>
  <c r="J50" i="3"/>
  <c r="J49" i="3"/>
  <c r="J48" i="3"/>
  <c r="I47" i="3"/>
  <c r="J46" i="3"/>
  <c r="J45" i="3"/>
  <c r="J44" i="3"/>
  <c r="J43" i="3"/>
  <c r="J42" i="3"/>
  <c r="I41" i="3"/>
  <c r="H38" i="3"/>
  <c r="J37" i="3"/>
  <c r="J36" i="3"/>
  <c r="J35" i="3"/>
  <c r="J34" i="3"/>
  <c r="J33" i="3"/>
  <c r="I32" i="3"/>
  <c r="J31" i="3"/>
  <c r="J30" i="3"/>
  <c r="J29" i="3"/>
  <c r="J28" i="3"/>
  <c r="J27" i="3"/>
  <c r="I26" i="3"/>
  <c r="E24" i="3"/>
  <c r="E39" i="3" s="1"/>
  <c r="E54" i="3" s="1"/>
  <c r="E69" i="3" s="1"/>
  <c r="E84" i="3" s="1"/>
  <c r="E99" i="3" s="1"/>
  <c r="H23" i="3"/>
  <c r="J22" i="3"/>
  <c r="J21" i="3"/>
  <c r="J20" i="3"/>
  <c r="J19" i="3"/>
  <c r="J18" i="3"/>
  <c r="I17" i="3"/>
  <c r="J16" i="3"/>
  <c r="J15" i="3"/>
  <c r="J14" i="3"/>
  <c r="J13" i="3"/>
  <c r="J12" i="3"/>
  <c r="I11" i="3"/>
  <c r="D7" i="3"/>
  <c r="F6" i="3"/>
  <c r="F5" i="3"/>
  <c r="F4" i="3"/>
  <c r="F3" i="3"/>
  <c r="L4" i="1"/>
  <c r="L5" i="1"/>
  <c r="L6" i="1"/>
  <c r="L3" i="1"/>
  <c r="L292" i="1"/>
  <c r="L291" i="1"/>
  <c r="L290" i="1"/>
  <c r="L289" i="1"/>
  <c r="L288" i="1"/>
  <c r="L287" i="1"/>
  <c r="L286" i="1"/>
  <c r="L285" i="1"/>
  <c r="L283" i="1"/>
  <c r="L282" i="1"/>
  <c r="L281" i="1"/>
  <c r="L280" i="1"/>
  <c r="L279" i="1"/>
  <c r="L278" i="1"/>
  <c r="L277" i="1"/>
  <c r="L276" i="1"/>
  <c r="L274" i="1"/>
  <c r="L273" i="1"/>
  <c r="L272" i="1"/>
  <c r="L271" i="1"/>
  <c r="L270" i="1"/>
  <c r="L269" i="1"/>
  <c r="L268" i="1"/>
  <c r="L267" i="1"/>
  <c r="L265" i="1"/>
  <c r="L264" i="1"/>
  <c r="L263" i="1"/>
  <c r="L262" i="1"/>
  <c r="L261" i="1"/>
  <c r="L260" i="1"/>
  <c r="L259" i="1"/>
  <c r="L258" i="1"/>
  <c r="L256" i="1"/>
  <c r="L255" i="1"/>
  <c r="L254" i="1"/>
  <c r="L253" i="1"/>
  <c r="L252" i="1"/>
  <c r="L251" i="1"/>
  <c r="L250" i="1"/>
  <c r="L249" i="1"/>
  <c r="L247" i="1"/>
  <c r="L246" i="1"/>
  <c r="L245" i="1"/>
  <c r="L244" i="1"/>
  <c r="L243" i="1"/>
  <c r="L242" i="1"/>
  <c r="L241" i="1"/>
  <c r="L240" i="1"/>
  <c r="L238" i="1"/>
  <c r="L237" i="1"/>
  <c r="L236" i="1"/>
  <c r="L235" i="1"/>
  <c r="L234" i="1"/>
  <c r="L233" i="1"/>
  <c r="L232" i="1"/>
  <c r="L231" i="1"/>
  <c r="L229" i="1"/>
  <c r="L228" i="1"/>
  <c r="L227" i="1"/>
  <c r="L226" i="1"/>
  <c r="L225" i="1"/>
  <c r="L224" i="1"/>
  <c r="L223" i="1"/>
  <c r="L222" i="1"/>
  <c r="L220" i="1"/>
  <c r="L219" i="1"/>
  <c r="L218" i="1"/>
  <c r="L217" i="1"/>
  <c r="L216" i="1"/>
  <c r="L215" i="1"/>
  <c r="L214" i="1"/>
  <c r="L213" i="1"/>
  <c r="L211" i="1"/>
  <c r="L210" i="1"/>
  <c r="L209" i="1"/>
  <c r="L208" i="1"/>
  <c r="L207" i="1"/>
  <c r="L206" i="1"/>
  <c r="L205" i="1"/>
  <c r="L204" i="1"/>
  <c r="L202" i="1"/>
  <c r="L201" i="1"/>
  <c r="L200" i="1"/>
  <c r="L199" i="1"/>
  <c r="L198" i="1"/>
  <c r="L197" i="1"/>
  <c r="L196" i="1"/>
  <c r="L195" i="1"/>
  <c r="L193" i="1"/>
  <c r="L192" i="1"/>
  <c r="L191" i="1"/>
  <c r="L190" i="1"/>
  <c r="L189" i="1"/>
  <c r="L188" i="1"/>
  <c r="L187" i="1"/>
  <c r="L186" i="1"/>
  <c r="L184" i="1"/>
  <c r="L183" i="1"/>
  <c r="L182" i="1"/>
  <c r="L181" i="1"/>
  <c r="L180" i="1"/>
  <c r="L179" i="1"/>
  <c r="L178" i="1"/>
  <c r="L177" i="1"/>
  <c r="L175" i="1"/>
  <c r="L174" i="1"/>
  <c r="L173" i="1"/>
  <c r="L172" i="1"/>
  <c r="L171" i="1"/>
  <c r="L170" i="1"/>
  <c r="L121" i="1"/>
  <c r="L120" i="1"/>
  <c r="L119" i="1"/>
  <c r="L108" i="1"/>
  <c r="L110" i="1"/>
  <c r="L109" i="1"/>
  <c r="L107" i="1"/>
  <c r="L104" i="1"/>
  <c r="L103" i="1"/>
  <c r="L102" i="1"/>
  <c r="L101" i="1"/>
  <c r="L100" i="1"/>
  <c r="L99" i="1"/>
  <c r="L98" i="1"/>
  <c r="L97" i="1"/>
  <c r="L95" i="1"/>
  <c r="L94" i="1"/>
  <c r="L93" i="1"/>
  <c r="L92" i="1"/>
  <c r="L91" i="1"/>
  <c r="L90" i="1"/>
  <c r="L89" i="1"/>
  <c r="L87" i="1"/>
  <c r="L86" i="1"/>
  <c r="L84" i="1"/>
  <c r="L85" i="1"/>
  <c r="L75" i="1"/>
  <c r="L74" i="1"/>
  <c r="L73" i="1"/>
  <c r="L72" i="1"/>
  <c r="L71" i="1"/>
  <c r="L69" i="1"/>
  <c r="L68" i="1"/>
  <c r="L66" i="1"/>
  <c r="L65" i="1"/>
  <c r="L45" i="1"/>
  <c r="L44" i="1"/>
  <c r="L43" i="1"/>
  <c r="L42" i="1"/>
  <c r="L41" i="1"/>
  <c r="L26" i="1"/>
  <c r="L16" i="1"/>
  <c r="L14" i="1"/>
  <c r="L13" i="1"/>
  <c r="L12" i="1"/>
  <c r="L11" i="1"/>
  <c r="L10" i="1"/>
  <c r="L9" i="1"/>
  <c r="L8" i="1"/>
  <c r="H113" i="2"/>
  <c r="I113" i="2" s="1"/>
  <c r="J112" i="2"/>
  <c r="J111" i="2"/>
  <c r="J110" i="2"/>
  <c r="K107" i="2" s="1"/>
  <c r="J109" i="2"/>
  <c r="J108" i="2"/>
  <c r="J113" i="2" s="1"/>
  <c r="K113" i="2" s="1"/>
  <c r="B7" i="2" s="1"/>
  <c r="I107" i="2"/>
  <c r="J107" i="2" s="1"/>
  <c r="J106" i="2"/>
  <c r="J105" i="2"/>
  <c r="J104" i="2"/>
  <c r="J103" i="2"/>
  <c r="J102" i="2"/>
  <c r="K101" i="2"/>
  <c r="I101" i="2"/>
  <c r="J101" i="2" s="1"/>
  <c r="H98" i="2"/>
  <c r="I98" i="2" s="1"/>
  <c r="J97" i="2"/>
  <c r="J96" i="2"/>
  <c r="J95" i="2"/>
  <c r="J94" i="2"/>
  <c r="J93" i="2"/>
  <c r="K92" i="2"/>
  <c r="I92" i="2"/>
  <c r="J92" i="2" s="1"/>
  <c r="J91" i="2"/>
  <c r="J90" i="2"/>
  <c r="K86" i="2" s="1"/>
  <c r="J89" i="2"/>
  <c r="J88" i="2"/>
  <c r="J87" i="2"/>
  <c r="J98" i="2" s="1"/>
  <c r="K98" i="2" s="1"/>
  <c r="B6" i="2" s="1"/>
  <c r="J86" i="2"/>
  <c r="I86" i="2"/>
  <c r="H83" i="2"/>
  <c r="I83" i="2" s="1"/>
  <c r="J82" i="2"/>
  <c r="J81" i="2"/>
  <c r="J80" i="2"/>
  <c r="J79" i="2"/>
  <c r="J78" i="2"/>
  <c r="J83" i="2" s="1"/>
  <c r="K83" i="2" s="1"/>
  <c r="B5" i="2" s="1"/>
  <c r="K77" i="2"/>
  <c r="I77" i="2"/>
  <c r="J77" i="2" s="1"/>
  <c r="J76" i="2"/>
  <c r="J75" i="2"/>
  <c r="J74" i="2"/>
  <c r="J73" i="2"/>
  <c r="J72" i="2"/>
  <c r="K71" i="2"/>
  <c r="I71" i="2"/>
  <c r="J71" i="2" s="1"/>
  <c r="J68" i="2"/>
  <c r="H68" i="2"/>
  <c r="I68" i="2" s="1"/>
  <c r="J67" i="2"/>
  <c r="J66" i="2"/>
  <c r="J65" i="2"/>
  <c r="J64" i="2"/>
  <c r="J63" i="2"/>
  <c r="K62" i="2" s="1"/>
  <c r="I62" i="2"/>
  <c r="J62" i="2" s="1"/>
  <c r="J61" i="2"/>
  <c r="J60" i="2"/>
  <c r="J59" i="2"/>
  <c r="J58" i="2"/>
  <c r="J57" i="2"/>
  <c r="K56" i="2"/>
  <c r="I56" i="2"/>
  <c r="J56" i="2" s="1"/>
  <c r="H53" i="2"/>
  <c r="J52" i="2"/>
  <c r="J51" i="2"/>
  <c r="J50" i="2"/>
  <c r="K47" i="2" s="1"/>
  <c r="J49" i="2"/>
  <c r="J48" i="2"/>
  <c r="J53" i="2" s="1"/>
  <c r="I47" i="2"/>
  <c r="J47" i="2" s="1"/>
  <c r="J46" i="2"/>
  <c r="J45" i="2"/>
  <c r="J44" i="2"/>
  <c r="J43" i="2"/>
  <c r="K41" i="2" s="1"/>
  <c r="J42" i="2"/>
  <c r="I41" i="2"/>
  <c r="J41" i="2" s="1"/>
  <c r="H38" i="2"/>
  <c r="I38" i="2" s="1"/>
  <c r="J37" i="2"/>
  <c r="J36" i="2"/>
  <c r="J35" i="2"/>
  <c r="J34" i="2"/>
  <c r="J33" i="2"/>
  <c r="J38" i="2" s="1"/>
  <c r="K38" i="2" s="1"/>
  <c r="B2" i="2" s="1"/>
  <c r="K32" i="2"/>
  <c r="I32" i="2"/>
  <c r="J32" i="2" s="1"/>
  <c r="J31" i="2"/>
  <c r="J30" i="2"/>
  <c r="J29" i="2"/>
  <c r="J28" i="2"/>
  <c r="J27" i="2"/>
  <c r="K26" i="2" s="1"/>
  <c r="I26" i="2"/>
  <c r="J26" i="2" s="1"/>
  <c r="E24" i="2"/>
  <c r="E39" i="2" s="1"/>
  <c r="E54" i="2" s="1"/>
  <c r="E69" i="2" s="1"/>
  <c r="E84" i="2" s="1"/>
  <c r="E99" i="2" s="1"/>
  <c r="H23" i="2"/>
  <c r="I23" i="2" s="1"/>
  <c r="J22" i="2"/>
  <c r="J21" i="2"/>
  <c r="J20" i="2"/>
  <c r="J19" i="2"/>
  <c r="J18" i="2"/>
  <c r="I17" i="2"/>
  <c r="J17" i="2" s="1"/>
  <c r="J16" i="2"/>
  <c r="J15" i="2"/>
  <c r="K11" i="2" s="1"/>
  <c r="J14" i="2"/>
  <c r="J13" i="2"/>
  <c r="J12" i="2"/>
  <c r="I11" i="2"/>
  <c r="J11" i="2" s="1"/>
  <c r="D7" i="2"/>
  <c r="F6" i="2"/>
  <c r="D6" i="2"/>
  <c r="F5" i="2"/>
  <c r="D5" i="2"/>
  <c r="F4" i="2"/>
  <c r="D4" i="2"/>
  <c r="F3" i="2"/>
  <c r="D2" i="2"/>
  <c r="D1" i="2"/>
  <c r="E2" i="5" l="1"/>
  <c r="K98" i="5"/>
  <c r="B6" i="5" s="1"/>
  <c r="K83" i="5"/>
  <c r="B5" i="5" s="1"/>
  <c r="E4" i="5"/>
  <c r="F1" i="5"/>
  <c r="E1" i="5" s="1"/>
  <c r="E3" i="5"/>
  <c r="K23" i="5"/>
  <c r="B1" i="5" s="1"/>
  <c r="C1" i="5" s="1"/>
  <c r="C4" i="5" s="1"/>
  <c r="K68" i="4"/>
  <c r="B4" i="4" s="1"/>
  <c r="C1" i="4" s="1"/>
  <c r="C4" i="4" s="1"/>
  <c r="E3" i="4"/>
  <c r="E4" i="4"/>
  <c r="E1" i="4"/>
  <c r="K101" i="3"/>
  <c r="K47" i="3"/>
  <c r="K17" i="3"/>
  <c r="J47" i="3"/>
  <c r="J17" i="3"/>
  <c r="J86" i="3"/>
  <c r="K56" i="3"/>
  <c r="K32" i="3"/>
  <c r="K77" i="3"/>
  <c r="J32" i="3"/>
  <c r="K71" i="3"/>
  <c r="J56" i="3"/>
  <c r="J77" i="3"/>
  <c r="I98" i="3"/>
  <c r="D6" i="3"/>
  <c r="I53" i="3"/>
  <c r="D3" i="3"/>
  <c r="J107" i="3"/>
  <c r="K92" i="3"/>
  <c r="J62" i="3"/>
  <c r="K11" i="3"/>
  <c r="J92" i="3"/>
  <c r="I83" i="3"/>
  <c r="D5" i="3"/>
  <c r="I68" i="3"/>
  <c r="D4" i="3"/>
  <c r="I23" i="3"/>
  <c r="D1" i="3"/>
  <c r="J101" i="3"/>
  <c r="J83" i="3"/>
  <c r="J71" i="3"/>
  <c r="J23" i="3"/>
  <c r="J11" i="3"/>
  <c r="J53" i="3"/>
  <c r="K41" i="3"/>
  <c r="J41" i="3"/>
  <c r="I38" i="3"/>
  <c r="D2" i="3"/>
  <c r="J38" i="3"/>
  <c r="K26" i="3"/>
  <c r="J26" i="3"/>
  <c r="K107" i="3"/>
  <c r="J113" i="3"/>
  <c r="K113" i="3" s="1"/>
  <c r="B7" i="3" s="1"/>
  <c r="K86" i="3"/>
  <c r="J98" i="3"/>
  <c r="J68" i="3"/>
  <c r="K62" i="3"/>
  <c r="I53" i="2"/>
  <c r="K53" i="2" s="1"/>
  <c r="B3" i="2" s="1"/>
  <c r="D3" i="2"/>
  <c r="J23" i="2"/>
  <c r="K17" i="2"/>
  <c r="E2" i="2"/>
  <c r="E4" i="2"/>
  <c r="K68" i="2"/>
  <c r="B4" i="2" s="1"/>
  <c r="F2" i="2"/>
  <c r="F1" i="2"/>
  <c r="E1" i="2" s="1"/>
  <c r="K53" i="3" l="1"/>
  <c r="B3" i="3" s="1"/>
  <c r="E2" i="3"/>
  <c r="K23" i="3"/>
  <c r="B1" i="3" s="1"/>
  <c r="K68" i="3"/>
  <c r="B4" i="3" s="1"/>
  <c r="K98" i="3"/>
  <c r="B6" i="3" s="1"/>
  <c r="F2" i="3"/>
  <c r="K83" i="3"/>
  <c r="B5" i="3" s="1"/>
  <c r="E3" i="3"/>
  <c r="K38" i="3"/>
  <c r="B2" i="3" s="1"/>
  <c r="E4" i="3"/>
  <c r="F1" i="3"/>
  <c r="E1" i="3" s="1"/>
  <c r="E3" i="2"/>
  <c r="K23" i="2"/>
  <c r="B1" i="2" s="1"/>
  <c r="C1" i="2" s="1"/>
  <c r="C4" i="2" s="1"/>
  <c r="C1" i="3" l="1"/>
  <c r="C4" i="3" s="1"/>
</calcChain>
</file>

<file path=xl/sharedStrings.xml><?xml version="1.0" encoding="utf-8"?>
<sst xmlns="http://schemas.openxmlformats.org/spreadsheetml/2006/main" count="5293" uniqueCount="373">
  <si>
    <t>No.</t>
  </si>
  <si>
    <t>Control</t>
  </si>
  <si>
    <t>No
OT</t>
  </si>
  <si>
    <t>Tipo
OT</t>
  </si>
  <si>
    <t>Tipo Trabajo</t>
  </si>
  <si>
    <t>Prioridad</t>
  </si>
  <si>
    <t>Job Description</t>
  </si>
  <si>
    <t>Equipo</t>
  </si>
  <si>
    <t>Descripcion de Equipo</t>
  </si>
  <si>
    <t>N° personas</t>
  </si>
  <si>
    <t>Hr Trabajo</t>
  </si>
  <si>
    <t>HH Estimado</t>
  </si>
  <si>
    <t>Fecha inicio</t>
  </si>
  <si>
    <t>Fecha final</t>
  </si>
  <si>
    <t>Dias</t>
  </si>
  <si>
    <t>Semana</t>
  </si>
  <si>
    <t>Supervisor</t>
  </si>
  <si>
    <t>Observaciones</t>
  </si>
  <si>
    <t>Lunes</t>
  </si>
  <si>
    <t>Grupo 1</t>
  </si>
  <si>
    <t>Martes</t>
  </si>
  <si>
    <t>Carga Horaria</t>
  </si>
  <si>
    <t>Grupo 2</t>
  </si>
  <si>
    <t>Miercoles</t>
  </si>
  <si>
    <t>Grupo 3</t>
  </si>
  <si>
    <t>Jueves</t>
  </si>
  <si>
    <t>Grupo 4</t>
  </si>
  <si>
    <t>Viernes</t>
  </si>
  <si>
    <t>Reactivo</t>
  </si>
  <si>
    <t>Turno Diurno</t>
  </si>
  <si>
    <t>Sabado</t>
  </si>
  <si>
    <t>Turno Nocturno</t>
  </si>
  <si>
    <t>Domingo</t>
  </si>
  <si>
    <t>PROGRAMA SEMANAL MONITOREO POR CONDICION</t>
  </si>
  <si>
    <t>Programacion Semanal</t>
  </si>
  <si>
    <t>Dia</t>
  </si>
  <si>
    <t>Lu</t>
  </si>
  <si>
    <t>No OT</t>
  </si>
  <si>
    <t>Tipo OT</t>
  </si>
  <si>
    <t>Descripcion de Trabajo</t>
  </si>
  <si>
    <t>Personas</t>
  </si>
  <si>
    <t>Hr total</t>
  </si>
  <si>
    <t>Personal</t>
  </si>
  <si>
    <t>Descripcion</t>
  </si>
  <si>
    <t>GRUPO 1</t>
  </si>
  <si>
    <t>GRUPO 2</t>
  </si>
  <si>
    <t>UTILIZACION</t>
  </si>
  <si>
    <t>Utilizacion</t>
  </si>
  <si>
    <t>Ma</t>
  </si>
  <si>
    <t>Mi</t>
  </si>
  <si>
    <t>Ju</t>
  </si>
  <si>
    <t>Vi</t>
  </si>
  <si>
    <t>Sa</t>
  </si>
  <si>
    <t>Do</t>
  </si>
  <si>
    <t>SEMANA 01 / 26 - CONFIABILIDAD ELECTRICO</t>
  </si>
  <si>
    <t>SEMANA 02 / 26 - CONFIABILIDAD ELECTRICO</t>
  </si>
  <si>
    <t>SEMANA 03 / 26 - CONFIABILIDAD ELECTRICO</t>
  </si>
  <si>
    <t>SEMANA 04 / 26 - CONFIABILIDAD ELECTRICO</t>
  </si>
  <si>
    <t>SEMANA 05 / 26 - CONFIABILIDAD ELECTRICO</t>
  </si>
  <si>
    <t>SEMANA 06 / 26 - CONFIABILIDAD ELECTRICO</t>
  </si>
  <si>
    <t>SEMANA 07 / 26 - CONFIABILIDAD ELECTRICO</t>
  </si>
  <si>
    <t>SEMANA 08 / 26 - CONFIABILIDAD ELECTRICO</t>
  </si>
  <si>
    <t>SEMANA 09 / 26 - CONFIABILIDAD ELECTRICO</t>
  </si>
  <si>
    <t>SEMANA 10 / 26 - CONFIABILIDAD ELECTRICO</t>
  </si>
  <si>
    <t>SEMANA 11 / 26 - CONFIABILIDAD ELECTRICO</t>
  </si>
  <si>
    <t>SEMANA 12 / 26 - CONFIABILIDAD ELECTRICO</t>
  </si>
  <si>
    <t>SEMANA 13 / 26 - CONFIABILIDAD ELECTRICO</t>
  </si>
  <si>
    <t>SEMANA 14 / 26 - CONFIABILIDAD ELECTRICO</t>
  </si>
  <si>
    <t>SEMANA 15 / 26 - CONFIABILIDAD ELECTRICO</t>
  </si>
  <si>
    <t>SEMANA 16 / 26 - CONFIABILIDAD ELECTRICO</t>
  </si>
  <si>
    <t>SEMANA 17 / 26 - CONFIABILIDAD ELECTRICO</t>
  </si>
  <si>
    <t>SEMANA 18 / 26 - CONFIABILIDAD ELECTRICO</t>
  </si>
  <si>
    <t>SEMANA 19 / 26 - CONFIABILIDAD ELECTRICO</t>
  </si>
  <si>
    <t>SEMANA 20 / 26 - CONFIABILIDAD ELECTRICO</t>
  </si>
  <si>
    <t>SEMANA 21 / 26 - CONFIABILIDAD ELECTRICO</t>
  </si>
  <si>
    <t>SEMANA 22 / 26 - CONFIABILIDAD ELECTRICO</t>
  </si>
  <si>
    <t>SEMANA 23 / 26 - CONFIABILIDAD ELECTRICO</t>
  </si>
  <si>
    <t>SEMANA 24 / 26 - CONFIABILIDAD ELECTRICO</t>
  </si>
  <si>
    <t>SEMANA 25 / 26 - CONFIABILIDAD ELECTRICO</t>
  </si>
  <si>
    <t>SEMANA 26 / 26 - CONFIABILIDAD ELECTRICO</t>
  </si>
  <si>
    <t>SEMANA 27 / 26 - CONFIABILIDAD ELECTRICO</t>
  </si>
  <si>
    <t>SEMANA 28 / 26 - CONFIABILIDAD ELECTRICO</t>
  </si>
  <si>
    <t>SEMANA 29 / 26 - CONFIABILIDAD ELECTRICO</t>
  </si>
  <si>
    <t>SEMANA 30 / 26 - CONFIABILIDAD ELECTRICO</t>
  </si>
  <si>
    <t>SEMANA 31 / 26 - CONFIABILIDAD ELECTRICO</t>
  </si>
  <si>
    <t>SEMANA 32 / 26 - CONFIABILIDAD ELECTRICO</t>
  </si>
  <si>
    <t>SEMANA 33 / 26 - CONFIABILIDAD ELECTRICO</t>
  </si>
  <si>
    <t>SEMANA 34 / 26 - CONFIABILIDAD ELECTRICO</t>
  </si>
  <si>
    <t>SEMANA 35 / 26 - CONFIABILIDAD ELECTRICO</t>
  </si>
  <si>
    <t>SEMANA 36 / 26 - CONFIABILIDAD ELECTRICO</t>
  </si>
  <si>
    <t>SEMANA 37 / 26 - CONFIABILIDAD ELECTRICO</t>
  </si>
  <si>
    <t>P</t>
  </si>
  <si>
    <t>PdM-MANTENIMIENTO PREDICTIVO</t>
  </si>
  <si>
    <t xml:space="preserve"> </t>
  </si>
  <si>
    <t>52S Inspección Termografía TF</t>
  </si>
  <si>
    <t>420VS901TF</t>
  </si>
  <si>
    <t>Trafo VFD Booster420PP550/553M</t>
  </si>
  <si>
    <t>52S Inspec Ultrasonido Lin K17</t>
  </si>
  <si>
    <t>620K17PW</t>
  </si>
  <si>
    <t>Línea Aérea Alim Pozos/Filtros</t>
  </si>
  <si>
    <t>C</t>
  </si>
  <si>
    <t>CMP-MANTTO CORRECTIVO PLANEADO</t>
  </si>
  <si>
    <t>4P</t>
  </si>
  <si>
    <t>3P</t>
  </si>
  <si>
    <t>Seguimiento con Termografía</t>
  </si>
  <si>
    <t>Pruebas Eléctricas en borne</t>
  </si>
  <si>
    <t>240AG153M</t>
  </si>
  <si>
    <t>Motor Agitador 240AG153</t>
  </si>
  <si>
    <t>230SG912</t>
  </si>
  <si>
    <t>Unidad Swichgear 230SG912</t>
  </si>
  <si>
    <t>Ma Vi</t>
  </si>
  <si>
    <t>52S Pruebas Electricas Motor</t>
  </si>
  <si>
    <t>230PP012M</t>
  </si>
  <si>
    <t>Motor Bomba 1 Alim Ciclón</t>
  </si>
  <si>
    <t>52S Inspec Ultrasonido Lin K18</t>
  </si>
  <si>
    <t>620K18PW</t>
  </si>
  <si>
    <t>Línea Aérea Alimentad Chancado</t>
  </si>
  <si>
    <t>PdM</t>
  </si>
  <si>
    <t>Mtto. Predictivo</t>
  </si>
  <si>
    <t>PMT</t>
  </si>
  <si>
    <t>Mtto. Prev. Tiempo</t>
  </si>
  <si>
    <t>Mantenimiento Trimestral Pozo - bloqueo</t>
  </si>
  <si>
    <t>630PZ008A</t>
  </si>
  <si>
    <t>Pozo Agua Cruda RW8A</t>
  </si>
  <si>
    <t>Medición Parámetros Eléctricos</t>
  </si>
  <si>
    <t>630PP139M</t>
  </si>
  <si>
    <t>Mtr Bomba Agua Pozo 9 Standby</t>
  </si>
  <si>
    <t>CMP</t>
  </si>
  <si>
    <t>Mtto. Correctivo planificado</t>
  </si>
  <si>
    <t>630TF216</t>
  </si>
  <si>
    <t>Trafo. Estación Bombeo 4</t>
  </si>
  <si>
    <t>630TF929</t>
  </si>
  <si>
    <t>Transformador Booster 2</t>
  </si>
  <si>
    <t>Pruebas Eléctricas 2 Motores</t>
  </si>
  <si>
    <t>710BL729</t>
  </si>
  <si>
    <t>Taller Confiabilidad</t>
  </si>
  <si>
    <t>02 / 26</t>
  </si>
  <si>
    <t>Registro Temperatura Sala Eléc</t>
  </si>
  <si>
    <t>420BL981</t>
  </si>
  <si>
    <t>Sala Electrica 420BL981</t>
  </si>
  <si>
    <t>Mi y Ju</t>
  </si>
  <si>
    <t>Vi a Do</t>
  </si>
  <si>
    <t>Ma y Sa</t>
  </si>
  <si>
    <t>Mantenimiento Trimestral Pozo</t>
  </si>
  <si>
    <t>52S Anális Aceite Dieléc TF</t>
  </si>
  <si>
    <t>230TF921A</t>
  </si>
  <si>
    <t>Transformador Ciclo Conv SAG/A</t>
  </si>
  <si>
    <t>52S Anális Aceite Dieléc Trafo</t>
  </si>
  <si>
    <t>210TF921</t>
  </si>
  <si>
    <t>Transformador Distribución MT</t>
  </si>
  <si>
    <t>420TF922</t>
  </si>
  <si>
    <t>Trafo. d Distribución 420TF922</t>
  </si>
  <si>
    <t>630TF928</t>
  </si>
  <si>
    <t>Transformador Booster 1</t>
  </si>
  <si>
    <t>230TF922A</t>
  </si>
  <si>
    <t>Trafo Ciclo Conv Mol Bol 1/A</t>
  </si>
  <si>
    <t>230TF923A</t>
  </si>
  <si>
    <t>Trafo Ciclo Conv Mol Bol 2/A</t>
  </si>
  <si>
    <t>230TF924</t>
  </si>
  <si>
    <t>T</t>
  </si>
  <si>
    <t>PMT-MANTTO PREVENT. TIEMPO FIJ</t>
  </si>
  <si>
    <t>Mantenimiento Trimestral Pozo (Apoyo con bloqueo)</t>
  </si>
  <si>
    <t>630PZ002</t>
  </si>
  <si>
    <t>Pozo Agua Cruda RW2</t>
  </si>
  <si>
    <t>Anális Aceite Dieléc TF</t>
  </si>
  <si>
    <t>Trafo Distribución Molino SAG</t>
  </si>
  <si>
    <t>630TF925</t>
  </si>
  <si>
    <t>Transformador Pozo RW 7</t>
  </si>
  <si>
    <t>630TF936</t>
  </si>
  <si>
    <t>Transformador Pozo RW 1A</t>
  </si>
  <si>
    <t>52S Inspec Ultrasonido Lin K20</t>
  </si>
  <si>
    <t>620K20PW</t>
  </si>
  <si>
    <t>Línea Aérea Alim Camp Aguirre</t>
  </si>
  <si>
    <t>IT</t>
  </si>
  <si>
    <t>630PZ002B</t>
  </si>
  <si>
    <t>Pozo Agua Cruda RW2SS</t>
  </si>
  <si>
    <r>
      <t>Mantenimiento Trimestral Pozo</t>
    </r>
    <r>
      <rPr>
        <b/>
        <sz val="11"/>
        <color theme="1"/>
        <rFont val="Aptos Narrow"/>
        <family val="2"/>
        <scheme val="minor"/>
      </rPr>
      <t xml:space="preserve"> (Megueado de Motor9)</t>
    </r>
  </si>
  <si>
    <t>MEDICION DE PUESTA A TIERRA</t>
  </si>
  <si>
    <t>Information Technology</t>
  </si>
  <si>
    <t>Mi Ju</t>
  </si>
  <si>
    <t>Vi Do</t>
  </si>
  <si>
    <t>630ZZ150TF</t>
  </si>
  <si>
    <t>Trafo. Distrib Osmosis Aguirre</t>
  </si>
  <si>
    <t>26S Inspección Termografía MCC</t>
  </si>
  <si>
    <t>230MC941</t>
  </si>
  <si>
    <t>Centro Control Mot. Molino SAG</t>
  </si>
  <si>
    <t>250MC941</t>
  </si>
  <si>
    <t>Centro Control Mot4 Flot Zn</t>
  </si>
  <si>
    <t>250AG185M</t>
  </si>
  <si>
    <t>Motor Agitador 250AG185M</t>
  </si>
  <si>
    <t>Pruebas Aceite Dieléctrico</t>
  </si>
  <si>
    <t>310TF922</t>
  </si>
  <si>
    <t>Trafo. Area Espesador 310TF922</t>
  </si>
  <si>
    <t>05 / 26</t>
  </si>
  <si>
    <t>Lu y Ma</t>
  </si>
  <si>
    <t>210MC941</t>
  </si>
  <si>
    <t>Centro Control de Motores</t>
  </si>
  <si>
    <t>270MC941</t>
  </si>
  <si>
    <t>Centro Control Motr Reactiv</t>
  </si>
  <si>
    <t>26S Inspección Termografía TF</t>
  </si>
  <si>
    <t>610TF901</t>
  </si>
  <si>
    <t>Trafo. Principal de Potencia 1</t>
  </si>
  <si>
    <t>630PZ001A</t>
  </si>
  <si>
    <t>Pozo Agua Cruda RW1A</t>
  </si>
  <si>
    <t>Mantenimiento Trimestral Pozo - meqgueo</t>
  </si>
  <si>
    <t>Vi y Sa</t>
  </si>
  <si>
    <t>Sa y Do</t>
  </si>
  <si>
    <t>210MA001</t>
  </si>
  <si>
    <t>Electroiman Desc Alimentador</t>
  </si>
  <si>
    <t>730TF931</t>
  </si>
  <si>
    <t>Transformador Edf. Admin.</t>
  </si>
  <si>
    <t>240MC941</t>
  </si>
  <si>
    <t>Centro Control Mot1 Flt Pb</t>
  </si>
  <si>
    <t>Ma y Ju</t>
  </si>
  <si>
    <t>730TF924</t>
  </si>
  <si>
    <t>Tranformador Casa de Cambios</t>
  </si>
  <si>
    <t>630PZ007</t>
  </si>
  <si>
    <t>Pozo Agua Cruda RW7</t>
  </si>
  <si>
    <t>210RB002</t>
  </si>
  <si>
    <t>Pica Roca2 Triturador Primario</t>
  </si>
  <si>
    <t>240TF929</t>
  </si>
  <si>
    <t>Trafo Tab Distribución Flot Pb</t>
  </si>
  <si>
    <t>Pruebas Eléctricas Motor</t>
  </si>
  <si>
    <t>630PP138M</t>
  </si>
  <si>
    <t>Mtr Bba Extracción Agua Pozo 8</t>
  </si>
  <si>
    <t>Seguimiento Parámetros Carga</t>
  </si>
  <si>
    <t>630PP137</t>
  </si>
  <si>
    <t>Bomba Extracción Agua Pozo 7</t>
  </si>
  <si>
    <t>08 / 26</t>
  </si>
  <si>
    <t>Lu a Mi</t>
  </si>
  <si>
    <t>Lu a Ju</t>
  </si>
  <si>
    <t>330MC941</t>
  </si>
  <si>
    <t>Centro Control Motores BT</t>
  </si>
  <si>
    <t>Mantenimiento Trimestral Pozo - Bloqueo</t>
  </si>
  <si>
    <t>630PZ004</t>
  </si>
  <si>
    <t>Pozo Agua Cruda RW4</t>
  </si>
  <si>
    <t>Cambio Motor Sumergible 125HP</t>
  </si>
  <si>
    <t>630PP137M</t>
  </si>
  <si>
    <t>Mtr Bba Extracción Agua Pozo 7</t>
  </si>
  <si>
    <t>630PZ010</t>
  </si>
  <si>
    <t>Pozo Agua Cruda RW10</t>
  </si>
  <si>
    <t>Ma a Do</t>
  </si>
  <si>
    <t>Ma y Mi</t>
  </si>
  <si>
    <t>630PP207</t>
  </si>
  <si>
    <t>Bomba de Balza Canal Norte</t>
  </si>
  <si>
    <t>630PP208</t>
  </si>
  <si>
    <t>Realizar Reportes de Parada_2</t>
  </si>
  <si>
    <t>Realizar Reportes de Parada_1</t>
  </si>
  <si>
    <t>12 / 26</t>
  </si>
  <si>
    <t>630MC941</t>
  </si>
  <si>
    <t>630TF924</t>
  </si>
  <si>
    <t>Transformador Pozo RW 1</t>
  </si>
  <si>
    <t>52S Inspección Termografía CM</t>
  </si>
  <si>
    <t>240CM911</t>
  </si>
  <si>
    <t>Controlador de Media Tensión</t>
  </si>
  <si>
    <t>630PZ001</t>
  </si>
  <si>
    <t>Pozo Agua Cruda RW1</t>
  </si>
  <si>
    <t>Lu Ma</t>
  </si>
  <si>
    <t>250CM911</t>
  </si>
  <si>
    <t>Controladores Media Tensión</t>
  </si>
  <si>
    <t>320CM911</t>
  </si>
  <si>
    <t>Controladores Media Tension</t>
  </si>
  <si>
    <t>630CM911</t>
  </si>
  <si>
    <t>Controlador de MT Booster 1</t>
  </si>
  <si>
    <t>52S Inspección Termografía SG</t>
  </si>
  <si>
    <t>230SG911</t>
  </si>
  <si>
    <t>Unidad Swichgear 230SG911</t>
  </si>
  <si>
    <t>Ju y Vi</t>
  </si>
  <si>
    <t>52S Inspección Termografía VS</t>
  </si>
  <si>
    <t>310VS935</t>
  </si>
  <si>
    <t>VFD Bomba 310PP605M</t>
  </si>
  <si>
    <t>52S Inspección Termografía US</t>
  </si>
  <si>
    <t>230US931</t>
  </si>
  <si>
    <t>Unidad Subestacion de BT</t>
  </si>
  <si>
    <t>270SG931</t>
  </si>
  <si>
    <t>Unidad Switchgears de BT</t>
  </si>
  <si>
    <t>240AG221M</t>
  </si>
  <si>
    <t>Motor Agitador 240AG221</t>
  </si>
  <si>
    <t>250AG245M</t>
  </si>
  <si>
    <t>Motor Agitador 250AG245M</t>
  </si>
  <si>
    <t>330SC301M</t>
  </si>
  <si>
    <t>Motor Transportado Tornillo Zn</t>
  </si>
  <si>
    <t>630PZ005</t>
  </si>
  <si>
    <t>Pozo Agua Cruda RW5</t>
  </si>
  <si>
    <t>15 / 26</t>
  </si>
  <si>
    <t>230VS915TF</t>
  </si>
  <si>
    <t>Transformador VFD BbaCiclónes</t>
  </si>
  <si>
    <t>240VS914</t>
  </si>
  <si>
    <t>VFD Bba 240PP128M Scavenger Pb</t>
  </si>
  <si>
    <t>230LU011M1</t>
  </si>
  <si>
    <t>Motor 1 Sistema Lubricación</t>
  </si>
  <si>
    <t>230LU101M1</t>
  </si>
  <si>
    <t>Motor 1 Sistema Lub Cond</t>
  </si>
  <si>
    <t>230LU201M1</t>
  </si>
  <si>
    <t>310AG610M</t>
  </si>
  <si>
    <t>Motor Agitador</t>
  </si>
  <si>
    <t>630PZ009</t>
  </si>
  <si>
    <t>Pozo Agua Cruda RW9</t>
  </si>
  <si>
    <t>Cambio Arrancador Suave</t>
  </si>
  <si>
    <t>630PP206</t>
  </si>
  <si>
    <t>Bomba de Balza Canal Sud</t>
  </si>
  <si>
    <t>16 / 26</t>
  </si>
  <si>
    <t>Lu a Sa</t>
  </si>
  <si>
    <t>17 / 26</t>
  </si>
  <si>
    <t>52S Inspec. Termografía K01</t>
  </si>
  <si>
    <t>610K01</t>
  </si>
  <si>
    <t>Alimentador Molino Bolas 2</t>
  </si>
  <si>
    <t>230CM912</t>
  </si>
  <si>
    <t>630PZ006</t>
  </si>
  <si>
    <t>Pozo Agua Cruda RW6</t>
  </si>
  <si>
    <t>Lu y Sa</t>
  </si>
  <si>
    <t>730TF927</t>
  </si>
  <si>
    <t>Transformador Reductor Toldos</t>
  </si>
  <si>
    <t>410VS911TF</t>
  </si>
  <si>
    <t>Trafo. Bba Underflow 1</t>
  </si>
  <si>
    <t>220HP006M1</t>
  </si>
  <si>
    <t>Motor de Bomba Hidráulica</t>
  </si>
  <si>
    <t xml:space="preserve"> 52S Pruebas Electricas Motor</t>
  </si>
  <si>
    <t>230CV013M</t>
  </si>
  <si>
    <t>Motor Cinta Transferencia</t>
  </si>
  <si>
    <t>240AG111M</t>
  </si>
  <si>
    <t>Motor Agitador 240AG111</t>
  </si>
  <si>
    <t>240AG211M</t>
  </si>
  <si>
    <t>Motor Agitador 240AG211</t>
  </si>
  <si>
    <t xml:space="preserve">Lu </t>
  </si>
  <si>
    <t>Ma Mi</t>
  </si>
  <si>
    <t>Mejorar Puesta a Tierra según reporte de confiabilidad</t>
  </si>
  <si>
    <t>630WK900</t>
  </si>
  <si>
    <t>Laguna Sediment Dique Rio Told</t>
  </si>
  <si>
    <t>240AG121M</t>
  </si>
  <si>
    <t>Motor Agitador 240AG121</t>
  </si>
  <si>
    <t>240PP128M</t>
  </si>
  <si>
    <t>Motor Bomba 1 Colas Scav Pb</t>
  </si>
  <si>
    <t>240AG128M</t>
  </si>
  <si>
    <t>Motor Agitador 240AG128</t>
  </si>
  <si>
    <t>210CB921</t>
  </si>
  <si>
    <t>Interruptor Principal</t>
  </si>
  <si>
    <t>710BL717</t>
  </si>
  <si>
    <t>Ensayos Interruptor nuevo MM</t>
  </si>
  <si>
    <t>Mantenimiento Trimestral Pozo (Apoyo en Bloqueo)</t>
  </si>
  <si>
    <t>PRUEBA DE TRANSFORMADOR 1MVA</t>
  </si>
  <si>
    <t>Taller Eléctrico Modificación</t>
  </si>
  <si>
    <t>jueves</t>
  </si>
  <si>
    <t>630PZ002A</t>
  </si>
  <si>
    <t>Pruebas Eléctricas Motores</t>
  </si>
  <si>
    <t>Seguimiento a Aterramiento</t>
  </si>
  <si>
    <t>740EP301</t>
  </si>
  <si>
    <t>Puesta a tierra Recep Diesel</t>
  </si>
  <si>
    <t>210CR001M</t>
  </si>
  <si>
    <t>Motor Chancadora Primaria</t>
  </si>
  <si>
    <t>240PP148M</t>
  </si>
  <si>
    <t>Motor Bomba 1 Conc Final Pb</t>
  </si>
  <si>
    <t>20 / 26</t>
  </si>
  <si>
    <t>Vi y Do</t>
  </si>
  <si>
    <t>52S Seguim.Parametro / Back Up</t>
  </si>
  <si>
    <t>240VS912</t>
  </si>
  <si>
    <t>VFD Bba 240PP122M Remoliend Pb</t>
  </si>
  <si>
    <t>250VS159</t>
  </si>
  <si>
    <t>VFD Bba250PP169M 3raLimp Zn L1</t>
  </si>
  <si>
    <t xml:space="preserve">Megueado de 2 motores de 125Hp en playa 4 para posterior mantenimiento </t>
  </si>
  <si>
    <t>240ML105M</t>
  </si>
  <si>
    <t>Motor Molino Remolienda Pb</t>
  </si>
  <si>
    <t>250PP151M</t>
  </si>
  <si>
    <t>Motor Bomba 1 3ra Limp Conc Zn</t>
  </si>
  <si>
    <t>Mantenimiento Trimestral Pozo (Megueado de motor)</t>
  </si>
  <si>
    <t>250AG145M</t>
  </si>
  <si>
    <t>Motor Agitador 250AG145M</t>
  </si>
  <si>
    <t>630PP561M</t>
  </si>
  <si>
    <t>Motor 1 Agua Lavado Torta</t>
  </si>
  <si>
    <t>230FA202</t>
  </si>
  <si>
    <t>Motor Vent Enfria Mol Bolas 12</t>
  </si>
  <si>
    <t>630PZ008</t>
  </si>
  <si>
    <t>Pozo Agua Cruda RW8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</si>
</sst>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[$-F800]dddd\,\ mmmm\ dd\,\ yyyy"/>
    <numFmt numFmtId="166" formatCode="0.0%"/>
    <numFmt numFmtId="167" formatCode="#,##0.0"/>
    <numFmt numFmtId="168" formatCode="0.0"/>
    <numFmt numFmtId="169" formatCode="mmmm\ \-\ yyyy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1"/>
      <color indexed="9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indexed="6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9"/>
      </right>
      <top style="double">
        <color indexed="64"/>
      </top>
      <bottom/>
      <diagonal/>
    </border>
    <border>
      <left style="thin">
        <color indexed="9"/>
      </left>
      <right style="thin">
        <color indexed="9"/>
      </right>
      <top style="double">
        <color indexed="64"/>
      </top>
      <bottom/>
      <diagonal/>
    </border>
    <border>
      <left style="thin">
        <color indexed="9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5" fontId="8" fillId="0" borderId="0"/>
    <xf numFmtId="165" fontId="1" fillId="0" borderId="0"/>
    <xf numFmtId="165" fontId="8" fillId="0" borderId="0"/>
    <xf numFmtId="0" fontId="8" fillId="0" borderId="0"/>
    <xf numFmtId="0" fontId="19" fillId="0" borderId="0"/>
    <xf numFmtId="165" fontId="8" fillId="0" borderId="0"/>
    <xf numFmtId="165" fontId="8" fillId="0" borderId="0"/>
    <xf numFmtId="169" fontId="1" fillId="0" borderId="0"/>
    <xf numFmtId="169" fontId="8" fillId="0" borderId="0"/>
  </cellStyleXfs>
  <cellXfs count="14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" fontId="7" fillId="0" borderId="1" xfId="2" applyNumberFormat="1" applyFont="1" applyBorder="1" applyAlignment="1">
      <alignment horizontal="center" vertical="center"/>
    </xf>
    <xf numFmtId="164" fontId="9" fillId="0" borderId="1" xfId="3" applyNumberFormat="1" applyFont="1" applyBorder="1" applyAlignment="1">
      <alignment horizontal="center" vertical="center" wrapText="1"/>
    </xf>
    <xf numFmtId="165" fontId="7" fillId="0" borderId="1" xfId="3" applyFont="1" applyBorder="1" applyAlignment="1">
      <alignment vertical="center"/>
    </xf>
    <xf numFmtId="0" fontId="6" fillId="0" borderId="1" xfId="0" applyFont="1" applyBorder="1"/>
    <xf numFmtId="0" fontId="0" fillId="0" borderId="0" xfId="0" applyAlignment="1">
      <alignment horizontal="center"/>
    </xf>
    <xf numFmtId="10" fontId="10" fillId="0" borderId="0" xfId="3" applyNumberFormat="1" applyFont="1" applyAlignment="1">
      <alignment horizontal="center" wrapText="1"/>
    </xf>
    <xf numFmtId="166" fontId="11" fillId="4" borderId="0" xfId="3" applyNumberFormat="1" applyFont="1" applyFill="1" applyAlignment="1">
      <alignment horizontal="center" wrapText="1"/>
    </xf>
    <xf numFmtId="10" fontId="2" fillId="5" borderId="0" xfId="3" applyNumberFormat="1" applyFont="1" applyFill="1" applyAlignment="1">
      <alignment horizontal="center" wrapText="1"/>
    </xf>
    <xf numFmtId="1" fontId="10" fillId="0" borderId="0" xfId="3" applyNumberFormat="1" applyFont="1" applyAlignment="1">
      <alignment horizontal="center" vertical="center" wrapText="1"/>
    </xf>
    <xf numFmtId="10" fontId="10" fillId="0" borderId="0" xfId="3" applyNumberFormat="1" applyFont="1" applyAlignment="1">
      <alignment horizontal="center" vertical="center" wrapText="1"/>
    </xf>
    <xf numFmtId="165" fontId="10" fillId="0" borderId="0" xfId="3" applyFont="1" applyAlignment="1">
      <alignment vertical="center" wrapText="1"/>
    </xf>
    <xf numFmtId="165" fontId="10" fillId="0" borderId="0" xfId="3" applyFont="1" applyAlignment="1">
      <alignment horizontal="center" wrapText="1"/>
    </xf>
    <xf numFmtId="1" fontId="10" fillId="0" borderId="0" xfId="3" applyNumberFormat="1" applyFont="1" applyAlignment="1">
      <alignment horizontal="center" wrapText="1"/>
    </xf>
    <xf numFmtId="165" fontId="10" fillId="0" borderId="0" xfId="3" applyFont="1" applyAlignment="1">
      <alignment horizontal="left" wrapText="1"/>
    </xf>
    <xf numFmtId="165" fontId="10" fillId="0" borderId="0" xfId="3" applyFont="1" applyAlignment="1">
      <alignment wrapText="1"/>
    </xf>
    <xf numFmtId="165" fontId="12" fillId="0" borderId="0" xfId="3" applyFont="1" applyAlignment="1">
      <alignment vertical="center"/>
    </xf>
    <xf numFmtId="165" fontId="3" fillId="5" borderId="0" xfId="3" applyFont="1" applyFill="1" applyAlignment="1">
      <alignment horizontal="center" wrapText="1"/>
    </xf>
    <xf numFmtId="10" fontId="12" fillId="0" borderId="0" xfId="3" applyNumberFormat="1" applyFont="1" applyAlignment="1">
      <alignment horizontal="center" vertical="center" wrapText="1"/>
    </xf>
    <xf numFmtId="1" fontId="10" fillId="0" borderId="0" xfId="3" applyNumberFormat="1" applyFont="1" applyAlignment="1">
      <alignment wrapText="1"/>
    </xf>
    <xf numFmtId="165" fontId="13" fillId="6" borderId="4" xfId="3" applyFont="1" applyFill="1" applyBorder="1" applyAlignment="1">
      <alignment wrapText="1"/>
    </xf>
    <xf numFmtId="165" fontId="13" fillId="6" borderId="5" xfId="3" applyFont="1" applyFill="1" applyBorder="1" applyAlignment="1">
      <alignment horizontal="center" wrapText="1"/>
    </xf>
    <xf numFmtId="49" fontId="14" fillId="7" borderId="4" xfId="3" applyNumberFormat="1" applyFont="1" applyFill="1" applyBorder="1" applyAlignment="1">
      <alignment horizontal="right" vertical="center" wrapText="1"/>
    </xf>
    <xf numFmtId="49" fontId="14" fillId="7" borderId="5" xfId="3" applyNumberFormat="1" applyFont="1" applyFill="1" applyBorder="1" applyAlignment="1">
      <alignment horizontal="center" vertical="center" wrapText="1"/>
    </xf>
    <xf numFmtId="49" fontId="14" fillId="6" borderId="9" xfId="3" applyNumberFormat="1" applyFont="1" applyFill="1" applyBorder="1" applyAlignment="1">
      <alignment horizontal="center" vertical="center" wrapText="1"/>
    </xf>
    <xf numFmtId="165" fontId="15" fillId="8" borderId="10" xfId="3" applyFont="1" applyFill="1" applyBorder="1" applyAlignment="1">
      <alignment horizontal="center" wrapText="1"/>
    </xf>
    <xf numFmtId="165" fontId="15" fillId="8" borderId="11" xfId="3" applyFont="1" applyFill="1" applyBorder="1" applyAlignment="1">
      <alignment horizontal="center" vertical="center" wrapText="1"/>
    </xf>
    <xf numFmtId="165" fontId="15" fillId="8" borderId="10" xfId="3" applyFont="1" applyFill="1" applyBorder="1" applyAlignment="1">
      <alignment vertical="center" wrapText="1"/>
    </xf>
    <xf numFmtId="9" fontId="15" fillId="8" borderId="11" xfId="1" applyFont="1" applyFill="1" applyBorder="1" applyAlignment="1">
      <alignment horizontal="center" vertical="center" wrapText="1"/>
    </xf>
    <xf numFmtId="1" fontId="15" fillId="8" borderId="11" xfId="3" applyNumberFormat="1" applyFont="1" applyFill="1" applyBorder="1" applyAlignment="1">
      <alignment horizontal="center" vertical="center" wrapText="1"/>
    </xf>
    <xf numFmtId="167" fontId="15" fillId="8" borderId="12" xfId="3" applyNumberFormat="1" applyFont="1" applyFill="1" applyBorder="1" applyAlignment="1">
      <alignment horizontal="left" vertical="center" wrapText="1"/>
    </xf>
    <xf numFmtId="165" fontId="17" fillId="9" borderId="13" xfId="4" applyFont="1" applyFill="1" applyBorder="1" applyAlignment="1">
      <alignment horizontal="center" vertical="center" wrapText="1"/>
    </xf>
    <xf numFmtId="165" fontId="17" fillId="9" borderId="14" xfId="4" applyFont="1" applyFill="1" applyBorder="1" applyAlignment="1">
      <alignment horizontal="center" vertical="center" wrapText="1"/>
    </xf>
    <xf numFmtId="165" fontId="17" fillId="9" borderId="14" xfId="4" applyFont="1" applyFill="1" applyBorder="1" applyAlignment="1">
      <alignment vertical="center" wrapText="1"/>
    </xf>
    <xf numFmtId="1" fontId="17" fillId="9" borderId="14" xfId="4" applyNumberFormat="1" applyFont="1" applyFill="1" applyBorder="1" applyAlignment="1">
      <alignment horizontal="center" vertical="center" wrapText="1"/>
    </xf>
    <xf numFmtId="165" fontId="17" fillId="9" borderId="15" xfId="4" applyFont="1" applyFill="1" applyBorder="1" applyAlignment="1">
      <alignment horizontal="left" vertical="center" wrapText="1"/>
    </xf>
    <xf numFmtId="165" fontId="10" fillId="3" borderId="3" xfId="3" applyFont="1" applyFill="1" applyBorder="1" applyAlignment="1">
      <alignment vertical="center"/>
    </xf>
    <xf numFmtId="165" fontId="10" fillId="3" borderId="3" xfId="3" applyFont="1" applyFill="1" applyBorder="1" applyAlignment="1">
      <alignment horizontal="center" vertical="center"/>
    </xf>
    <xf numFmtId="165" fontId="18" fillId="3" borderId="3" xfId="3" applyFont="1" applyFill="1" applyBorder="1" applyAlignment="1">
      <alignment horizontal="center" vertical="center"/>
    </xf>
    <xf numFmtId="0" fontId="10" fillId="3" borderId="1" xfId="3" applyNumberFormat="1" applyFont="1" applyFill="1" applyBorder="1" applyAlignment="1">
      <alignment horizontal="center" vertical="center"/>
    </xf>
    <xf numFmtId="9" fontId="12" fillId="3" borderId="1" xfId="2" applyNumberFormat="1" applyFont="1" applyFill="1" applyBorder="1" applyAlignment="1">
      <alignment horizontal="center" vertical="center"/>
    </xf>
    <xf numFmtId="165" fontId="18" fillId="3" borderId="1" xfId="3" applyFont="1" applyFill="1" applyBorder="1" applyAlignment="1">
      <alignment vertical="center" wrapText="1"/>
    </xf>
    <xf numFmtId="165" fontId="1" fillId="0" borderId="0" xfId="3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7" fillId="0" borderId="1" xfId="5" applyFont="1" applyBorder="1" applyAlignment="1">
      <alignment horizontal="left" vertical="center"/>
    </xf>
    <xf numFmtId="0" fontId="6" fillId="0" borderId="16" xfId="0" applyFont="1" applyBorder="1" applyAlignment="1">
      <alignment vertical="center"/>
    </xf>
    <xf numFmtId="1" fontId="12" fillId="0" borderId="16" xfId="2" applyNumberFormat="1" applyFont="1" applyBorder="1" applyAlignment="1">
      <alignment horizontal="center" vertical="center"/>
    </xf>
    <xf numFmtId="165" fontId="10" fillId="0" borderId="1" xfId="3" applyFont="1" applyBorder="1" applyAlignment="1">
      <alignment vertical="center" wrapText="1"/>
    </xf>
    <xf numFmtId="0" fontId="0" fillId="0" borderId="16" xfId="0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49" fontId="0" fillId="0" borderId="16" xfId="0" applyNumberFormat="1" applyBorder="1"/>
    <xf numFmtId="49" fontId="0" fillId="0" borderId="16" xfId="0" applyNumberFormat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5" fontId="10" fillId="3" borderId="2" xfId="3" applyFont="1" applyFill="1" applyBorder="1" applyAlignment="1">
      <alignment horizontal="center" vertical="center"/>
    </xf>
    <xf numFmtId="1" fontId="12" fillId="3" borderId="3" xfId="2" applyNumberFormat="1" applyFont="1" applyFill="1" applyBorder="1" applyAlignment="1">
      <alignment horizontal="center" vertical="center"/>
    </xf>
    <xf numFmtId="165" fontId="10" fillId="3" borderId="17" xfId="3" applyFont="1" applyFill="1" applyBorder="1" applyAlignment="1">
      <alignment vertical="center"/>
    </xf>
    <xf numFmtId="168" fontId="10" fillId="3" borderId="18" xfId="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65" fontId="10" fillId="0" borderId="1" xfId="3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5" fontId="10" fillId="6" borderId="2" xfId="2" applyFont="1" applyFill="1" applyBorder="1" applyAlignment="1">
      <alignment horizontal="center" vertical="center" wrapText="1"/>
    </xf>
    <xf numFmtId="49" fontId="10" fillId="6" borderId="3" xfId="2" applyNumberFormat="1" applyFont="1" applyFill="1" applyBorder="1" applyAlignment="1">
      <alignment horizontal="center" vertical="center" wrapText="1"/>
    </xf>
    <xf numFmtId="49" fontId="18" fillId="6" borderId="3" xfId="7" applyNumberFormat="1" applyFont="1" applyFill="1" applyBorder="1" applyAlignment="1">
      <alignment horizontal="center" vertical="center" wrapText="1"/>
    </xf>
    <xf numFmtId="49" fontId="10" fillId="6" borderId="3" xfId="7" applyNumberFormat="1" applyFont="1" applyFill="1" applyBorder="1" applyAlignment="1">
      <alignment horizontal="center" vertical="center" wrapText="1"/>
    </xf>
    <xf numFmtId="49" fontId="10" fillId="6" borderId="17" xfId="7" applyNumberFormat="1" applyFont="1" applyFill="1" applyBorder="1" applyAlignment="1">
      <alignment vertical="center" wrapText="1"/>
    </xf>
    <xf numFmtId="1" fontId="18" fillId="6" borderId="5" xfId="3" applyNumberFormat="1" applyFont="1" applyFill="1" applyBorder="1" applyAlignment="1">
      <alignment horizontal="center" vertical="center" wrapText="1"/>
    </xf>
    <xf numFmtId="1" fontId="18" fillId="6" borderId="9" xfId="8" applyNumberFormat="1" applyFont="1" applyFill="1" applyBorder="1" applyAlignment="1">
      <alignment horizontal="center" wrapText="1"/>
    </xf>
    <xf numFmtId="1" fontId="18" fillId="6" borderId="9" xfId="8" applyNumberFormat="1" applyFont="1" applyFill="1" applyBorder="1" applyAlignment="1">
      <alignment horizontal="center" vertical="center" wrapText="1"/>
    </xf>
    <xf numFmtId="9" fontId="18" fillId="6" borderId="19" xfId="3" applyNumberFormat="1" applyFont="1" applyFill="1" applyBorder="1" applyAlignment="1">
      <alignment horizontal="left" vertical="center" wrapText="1"/>
    </xf>
    <xf numFmtId="9" fontId="15" fillId="8" borderId="22" xfId="1" applyFont="1" applyFill="1" applyBorder="1" applyAlignment="1">
      <alignment horizontal="center" vertical="center" wrapText="1"/>
    </xf>
    <xf numFmtId="165" fontId="15" fillId="8" borderId="22" xfId="3" applyFont="1" applyFill="1" applyBorder="1" applyAlignment="1">
      <alignment horizontal="center" vertical="center" wrapText="1"/>
    </xf>
    <xf numFmtId="1" fontId="15" fillId="8" borderId="22" xfId="3" applyNumberFormat="1" applyFont="1" applyFill="1" applyBorder="1" applyAlignment="1">
      <alignment horizontal="center" vertical="center" wrapText="1"/>
    </xf>
    <xf numFmtId="167" fontId="15" fillId="8" borderId="23" xfId="3" applyNumberFormat="1" applyFont="1" applyFill="1" applyBorder="1" applyAlignment="1">
      <alignment horizontal="left" vertical="center" wrapText="1"/>
    </xf>
    <xf numFmtId="165" fontId="17" fillId="9" borderId="24" xfId="4" applyFont="1" applyFill="1" applyBorder="1" applyAlignment="1">
      <alignment horizontal="center" vertical="center" wrapText="1"/>
    </xf>
    <xf numFmtId="165" fontId="17" fillId="9" borderId="25" xfId="4" applyFont="1" applyFill="1" applyBorder="1" applyAlignment="1">
      <alignment horizontal="center" vertical="center" wrapText="1"/>
    </xf>
    <xf numFmtId="165" fontId="17" fillId="9" borderId="25" xfId="4" applyFont="1" applyFill="1" applyBorder="1" applyAlignment="1">
      <alignment vertical="center" wrapText="1"/>
    </xf>
    <xf numFmtId="1" fontId="17" fillId="9" borderId="25" xfId="4" applyNumberFormat="1" applyFont="1" applyFill="1" applyBorder="1" applyAlignment="1">
      <alignment horizontal="center" vertical="center" wrapText="1"/>
    </xf>
    <xf numFmtId="165" fontId="17" fillId="9" borderId="26" xfId="4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horizontal="justify" vertical="center"/>
    </xf>
    <xf numFmtId="165" fontId="15" fillId="8" borderId="27" xfId="3" applyFont="1" applyFill="1" applyBorder="1" applyAlignment="1">
      <alignment horizontal="center" wrapText="1"/>
    </xf>
    <xf numFmtId="165" fontId="15" fillId="8" borderId="27" xfId="3" applyFont="1" applyFill="1" applyBorder="1" applyAlignment="1">
      <alignment vertical="center" wrapText="1"/>
    </xf>
    <xf numFmtId="1" fontId="10" fillId="3" borderId="18" xfId="3" applyNumberFormat="1" applyFont="1" applyFill="1" applyBorder="1" applyAlignment="1">
      <alignment horizontal="center" vertical="center"/>
    </xf>
    <xf numFmtId="0" fontId="1" fillId="0" borderId="1" xfId="3" applyNumberFormat="1" applyBorder="1" applyAlignment="1">
      <alignment horizontal="center"/>
    </xf>
    <xf numFmtId="0" fontId="1" fillId="0" borderId="1" xfId="3" applyNumberFormat="1" applyBorder="1" applyAlignment="1">
      <alignment horizontal="center" vertical="center"/>
    </xf>
    <xf numFmtId="0" fontId="1" fillId="0" borderId="1" xfId="3" applyNumberFormat="1" applyBorder="1" applyAlignment="1">
      <alignment horizontal="left"/>
    </xf>
    <xf numFmtId="165" fontId="1" fillId="0" borderId="0" xfId="3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0" fillId="0" borderId="1" xfId="6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165" fontId="10" fillId="6" borderId="4" xfId="2" applyFont="1" applyFill="1" applyBorder="1" applyAlignment="1">
      <alignment horizontal="center" vertical="center" wrapText="1"/>
    </xf>
    <xf numFmtId="49" fontId="10" fillId="6" borderId="28" xfId="2" applyNumberFormat="1" applyFont="1" applyFill="1" applyBorder="1" applyAlignment="1">
      <alignment horizontal="center" vertical="center" wrapText="1"/>
    </xf>
    <xf numFmtId="49" fontId="18" fillId="6" borderId="28" xfId="7" applyNumberFormat="1" applyFont="1" applyFill="1" applyBorder="1" applyAlignment="1">
      <alignment horizontal="center" vertical="center" wrapText="1"/>
    </xf>
    <xf numFmtId="49" fontId="10" fillId="6" borderId="28" xfId="7" applyNumberFormat="1" applyFont="1" applyFill="1" applyBorder="1" applyAlignment="1">
      <alignment horizontal="center" vertical="center" wrapText="1"/>
    </xf>
    <xf numFmtId="49" fontId="10" fillId="6" borderId="5" xfId="7" applyNumberFormat="1" applyFont="1" applyFill="1" applyBorder="1" applyAlignment="1">
      <alignment vertical="center" wrapText="1"/>
    </xf>
    <xf numFmtId="165" fontId="10" fillId="0" borderId="0" xfId="3" applyFont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1" fontId="7" fillId="10" borderId="1" xfId="2" applyNumberFormat="1" applyFont="1" applyFill="1" applyBorder="1" applyAlignment="1">
      <alignment horizontal="center" vertical="center"/>
    </xf>
    <xf numFmtId="164" fontId="9" fillId="10" borderId="1" xfId="3" applyNumberFormat="1" applyFont="1" applyFill="1" applyBorder="1" applyAlignment="1">
      <alignment horizontal="center" vertical="center" wrapText="1"/>
    </xf>
    <xf numFmtId="165" fontId="7" fillId="10" borderId="1" xfId="3" applyFont="1" applyFill="1" applyBorder="1" applyAlignment="1">
      <alignment vertical="center"/>
    </xf>
    <xf numFmtId="0" fontId="6" fillId="10" borderId="1" xfId="0" applyFont="1" applyFill="1" applyBorder="1"/>
    <xf numFmtId="1" fontId="9" fillId="3" borderId="18" xfId="9" applyNumberFormat="1" applyFont="1" applyFill="1" applyBorder="1" applyAlignment="1">
      <alignment horizontal="center" vertical="center"/>
    </xf>
    <xf numFmtId="1" fontId="9" fillId="3" borderId="1" xfId="9" applyNumberFormat="1" applyFont="1" applyFill="1" applyBorder="1" applyAlignment="1">
      <alignment horizontal="center" vertical="center"/>
    </xf>
    <xf numFmtId="9" fontId="7" fillId="3" borderId="1" xfId="1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0" fontId="7" fillId="10" borderId="1" xfId="0" applyFont="1" applyFill="1" applyBorder="1" applyAlignment="1">
      <alignment vertical="center" wrapText="1"/>
    </xf>
    <xf numFmtId="165" fontId="16" fillId="8" borderId="27" xfId="3" applyFont="1" applyFill="1" applyBorder="1" applyAlignment="1">
      <alignment horizontal="center" vertical="center" wrapText="1"/>
    </xf>
    <xf numFmtId="165" fontId="16" fillId="8" borderId="23" xfId="3" applyFont="1" applyFill="1" applyBorder="1" applyAlignment="1">
      <alignment horizontal="center" vertical="center" wrapText="1"/>
    </xf>
    <xf numFmtId="49" fontId="14" fillId="6" borderId="6" xfId="3" applyNumberFormat="1" applyFont="1" applyFill="1" applyBorder="1" applyAlignment="1">
      <alignment horizontal="center" vertical="center" wrapText="1"/>
    </xf>
    <xf numFmtId="49" fontId="14" fillId="6" borderId="7" xfId="3" applyNumberFormat="1" applyFont="1" applyFill="1" applyBorder="1" applyAlignment="1">
      <alignment horizontal="center" vertical="center" wrapText="1"/>
    </xf>
    <xf numFmtId="49" fontId="14" fillId="6" borderId="8" xfId="3" applyNumberFormat="1" applyFont="1" applyFill="1" applyBorder="1" applyAlignment="1">
      <alignment horizontal="center" vertical="center" wrapText="1"/>
    </xf>
    <xf numFmtId="165" fontId="14" fillId="6" borderId="6" xfId="3" applyFont="1" applyFill="1" applyBorder="1" applyAlignment="1">
      <alignment horizontal="center" vertical="center" wrapText="1"/>
    </xf>
    <xf numFmtId="165" fontId="14" fillId="6" borderId="7" xfId="3" applyFont="1" applyFill="1" applyBorder="1" applyAlignment="1">
      <alignment horizontal="center" vertical="center" wrapText="1"/>
    </xf>
    <xf numFmtId="165" fontId="14" fillId="6" borderId="8" xfId="3" applyFont="1" applyFill="1" applyBorder="1" applyAlignment="1">
      <alignment horizontal="center" vertical="center" wrapText="1"/>
    </xf>
    <xf numFmtId="165" fontId="16" fillId="8" borderId="10" xfId="3" applyFont="1" applyFill="1" applyBorder="1" applyAlignment="1">
      <alignment horizontal="center" vertical="center" wrapText="1"/>
    </xf>
    <xf numFmtId="165" fontId="16" fillId="8" borderId="12" xfId="3" applyFont="1" applyFill="1" applyBorder="1" applyAlignment="1">
      <alignment horizontal="center" vertical="center" wrapText="1"/>
    </xf>
    <xf numFmtId="165" fontId="16" fillId="8" borderId="20" xfId="3" applyFont="1" applyFill="1" applyBorder="1" applyAlignment="1">
      <alignment horizontal="center" vertical="center" wrapText="1"/>
    </xf>
    <xf numFmtId="165" fontId="16" fillId="8" borderId="21" xfId="3" applyFont="1" applyFill="1" applyBorder="1" applyAlignment="1">
      <alignment horizontal="center" vertical="center" wrapText="1"/>
    </xf>
  </cellXfs>
  <cellStyles count="11">
    <cellStyle name="Normal" xfId="0" builtinId="0"/>
    <cellStyle name="Normal 2 2 17" xfId="5" xr:uid="{AA1C603D-3615-4B49-8A34-85CEC9A2A763}"/>
    <cellStyle name="Normal 3" xfId="6" xr:uid="{674DBACE-AB58-4AD1-88DF-94B231691552}"/>
    <cellStyle name="Normal 4" xfId="3" xr:uid="{F7F7BE5D-5A75-4F03-A3F8-23933EB28F8C}"/>
    <cellStyle name="Normal 4 40" xfId="9" xr:uid="{BEA20EE1-881F-4BD6-8FB8-47C0D2D60638}"/>
    <cellStyle name="Normal_Mobile Weekly Schedule Daily Sheet" xfId="4" xr:uid="{3A44790A-0779-4BF4-8F29-BBEC860265C0}"/>
    <cellStyle name="Normal_Sheet1" xfId="7" xr:uid="{42CED848-410D-4A84-8376-EA9D80E82893}"/>
    <cellStyle name="Normal_WEEKLY SCHEDULE" xfId="2" xr:uid="{5CAEC448-7DD9-40DC-9C56-934987BDE756}"/>
    <cellStyle name="Normal_WEEKLY SCHEDULE 2" xfId="10" xr:uid="{CC412CEE-912D-4B1A-8819-A4A09251DBE3}"/>
    <cellStyle name="Normal_Worksheet in Basis (1)" xfId="8" xr:uid="{FD8E30C3-8DC8-470B-B808-1BCEF7C4BFBC}"/>
    <cellStyle name="Percent" xfId="1" builtinId="5"/>
  </cellStyles>
  <dxfs count="25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25A-B1E7-417B-AE67-E97B597D057D}">
  <sheetPr>
    <pageSetUpPr fitToPage="1"/>
  </sheetPr>
  <dimension ref="A1:N131"/>
  <sheetViews>
    <sheetView zoomScaleNormal="100" zoomScaleSheetLayoutView="70" workbookViewId="0">
      <selection activeCell="G15" sqref="G15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</v>
      </c>
      <c r="C1" s="23">
        <f>AVERAGE(B1:B7)</f>
        <v>0</v>
      </c>
      <c r="D1" s="24">
        <f>H23</f>
        <v>1.0009999999999999</v>
      </c>
      <c r="E1" s="21" t="e">
        <f>AVERAGE(F1:F6)</f>
        <v>#REF!</v>
      </c>
      <c r="F1" s="25">
        <f>AVERAGE(J11,J26,J41,J56,J71,J86,J101)</f>
        <v>0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</v>
      </c>
      <c r="C2" s="32" t="s">
        <v>21</v>
      </c>
      <c r="D2" s="24">
        <f>H38</f>
        <v>1.0009999999999999</v>
      </c>
      <c r="E2" s="27" t="str">
        <f>SUM(D1:D7)*10&amp;" "&amp;"Horas"&amp;" "&amp;"Hombre"&amp;" "&amp;"Disponibles"&amp;" "&amp;"Semana"</f>
        <v>100,07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</v>
      </c>
      <c r="C3" s="27"/>
      <c r="D3" s="24">
        <f>H53</f>
        <v>1.0009999999999999</v>
      </c>
      <c r="E3" s="27" t="str">
        <f>SUM(J23,J38,J53,J68,J83,J98,J113)&amp;" "&amp;"Horas"&amp;" "&amp;"Hombre"&amp;" "&amp;"Programadas"</f>
        <v>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</v>
      </c>
      <c r="C4" s="23">
        <f>1-C1</f>
        <v>1</v>
      </c>
      <c r="D4" s="24">
        <f>H68</f>
        <v>1.0009999999999999</v>
      </c>
      <c r="E4" s="27" t="str">
        <f>(SUM(D1:D7)*10)-(SUM(J23,J38,J53,J68,J83,J98,J113))&amp;" "&amp;"Horas"&amp;" "&amp;"Atención"&amp;" "&amp;"OT"&amp;" "&amp;"Reactivo"</f>
        <v>100,07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</v>
      </c>
      <c r="C5" s="32" t="s">
        <v>28</v>
      </c>
      <c r="D5" s="24">
        <f>H83</f>
        <v>2.0009999999999999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</v>
      </c>
      <c r="C6" s="27"/>
      <c r="D6" s="24">
        <f>H98</f>
        <v>2.0009999999999999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</v>
      </c>
      <c r="C7" s="27"/>
      <c r="D7" s="24">
        <f>H113</f>
        <v>2.0009999999999999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352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46123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1</v>
      </c>
      <c r="I11" s="54">
        <f>H11*10</f>
        <v>10</v>
      </c>
      <c r="J11" s="55">
        <f>SUM(J12:J16)/I11</f>
        <v>0</v>
      </c>
      <c r="K11" s="56" t="str">
        <f>SUM(J12:J16)&amp;" "&amp;"Hrs"&amp;" "&amp;"GRUPO 1"</f>
        <v>0 Hrs GRUPO 1</v>
      </c>
      <c r="L11" s="30" t="s">
        <v>19</v>
      </c>
      <c r="M11" s="31" t="s">
        <v>36</v>
      </c>
      <c r="N11" s="57"/>
    </row>
    <row r="12" spans="1:14" x14ac:dyDescent="0.25">
      <c r="A12" s="58"/>
      <c r="B12" s="12"/>
      <c r="C12" s="59"/>
      <c r="D12" s="12"/>
      <c r="E12" s="18"/>
      <c r="F12" s="58"/>
      <c r="G12" s="60"/>
      <c r="H12" s="58"/>
      <c r="I12" s="58"/>
      <c r="J12" s="61" t="str">
        <f>IF(H12&lt;&gt;"",H12*I12,"")</f>
        <v/>
      </c>
      <c r="K12" s="62"/>
      <c r="L12" s="30" t="s">
        <v>19</v>
      </c>
      <c r="M12" s="31" t="s">
        <v>36</v>
      </c>
      <c r="N12" s="57"/>
    </row>
    <row r="13" spans="1:14" x14ac:dyDescent="0.25">
      <c r="A13" s="58"/>
      <c r="B13" s="12"/>
      <c r="C13" s="59"/>
      <c r="D13" s="12"/>
      <c r="E13" s="18"/>
      <c r="F13" s="58"/>
      <c r="G13" s="60"/>
      <c r="H13" s="12"/>
      <c r="I13" s="12"/>
      <c r="J13" s="61" t="str">
        <f>IF(H13&lt;&gt;"",H13*I13,"")</f>
        <v/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1.0009999999999999</v>
      </c>
      <c r="I23" s="91">
        <f>H23*10</f>
        <v>10.009999999999998</v>
      </c>
      <c r="J23" s="92">
        <f>SUM(J18:J22,J12:J16)</f>
        <v>0</v>
      </c>
      <c r="K23" s="93">
        <f>J23/I23</f>
        <v>0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46124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1</v>
      </c>
      <c r="I26" s="54">
        <f>H26*10</f>
        <v>10</v>
      </c>
      <c r="J26" s="55">
        <f>SUM(J27:J31)/I26</f>
        <v>0</v>
      </c>
      <c r="K26" s="56" t="str">
        <f>SUM(J27:J31)&amp;" "&amp;"Hrs"&amp;" "&amp;"GRUPO 1"</f>
        <v>0 Hrs GRUPO 1</v>
      </c>
      <c r="L26" s="30" t="s">
        <v>19</v>
      </c>
      <c r="M26" s="31" t="s">
        <v>48</v>
      </c>
      <c r="N26" s="57"/>
    </row>
    <row r="27" spans="1:14" x14ac:dyDescent="0.25">
      <c r="A27" s="58"/>
      <c r="B27" s="12"/>
      <c r="C27" s="59"/>
      <c r="D27" s="12"/>
      <c r="E27" s="18"/>
      <c r="F27" s="58"/>
      <c r="G27" s="60"/>
      <c r="H27" s="12"/>
      <c r="I27" s="12"/>
      <c r="J27" s="61" t="str">
        <f>IF(H27&lt;&gt;"",H27*I27,"")</f>
        <v/>
      </c>
      <c r="K27" s="62"/>
      <c r="L27" s="30" t="s">
        <v>19</v>
      </c>
      <c r="M27" s="31" t="s">
        <v>48</v>
      </c>
      <c r="N27" s="57"/>
    </row>
    <row r="28" spans="1:14" x14ac:dyDescent="0.25">
      <c r="A28" s="12"/>
      <c r="B28" s="12"/>
      <c r="C28" s="59"/>
      <c r="D28" s="12"/>
      <c r="E28" s="18"/>
      <c r="F28" s="12"/>
      <c r="G28" s="81"/>
      <c r="H28" s="12"/>
      <c r="I28" s="12"/>
      <c r="J28" s="61" t="str">
        <f>IF(H28&lt;&gt;"",H28*I28,"")</f>
        <v/>
      </c>
      <c r="K28" s="62"/>
      <c r="L28" s="30" t="s">
        <v>19</v>
      </c>
      <c r="M28" s="31" t="s">
        <v>48</v>
      </c>
      <c r="N28" s="57"/>
    </row>
    <row r="29" spans="1:14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1.0009999999999999</v>
      </c>
      <c r="I38" s="91">
        <f>H38*10</f>
        <v>10.009999999999998</v>
      </c>
      <c r="J38" s="92">
        <f>SUM(J33:J37,J27:J31)</f>
        <v>0</v>
      </c>
      <c r="K38" s="93">
        <f>J38/I38</f>
        <v>0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46125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</v>
      </c>
      <c r="I41" s="54">
        <f>H41*10</f>
        <v>10</v>
      </c>
      <c r="J41" s="55">
        <f>SUM(J42:J46)/I41</f>
        <v>0</v>
      </c>
      <c r="K41" s="56" t="str">
        <f>SUM(J42:J46)&amp;" "&amp;"Hrs"&amp;" "&amp;"GRUPO 1"</f>
        <v>0 Hrs GRUPO 1</v>
      </c>
      <c r="L41" s="30" t="s">
        <v>19</v>
      </c>
      <c r="M41" s="31" t="s">
        <v>49</v>
      </c>
      <c r="N41" s="57"/>
    </row>
    <row r="42" spans="1:14" x14ac:dyDescent="0.25">
      <c r="A42" s="58"/>
      <c r="B42" s="12"/>
      <c r="C42" s="59"/>
      <c r="D42" s="12"/>
      <c r="E42" s="18"/>
      <c r="F42" s="58"/>
      <c r="G42" s="60"/>
      <c r="H42" s="12"/>
      <c r="I42" s="12"/>
      <c r="J42" s="61" t="str">
        <f>IF(H42&lt;&gt;"",H42*I42,"")</f>
        <v/>
      </c>
      <c r="K42" s="62"/>
      <c r="L42" s="30" t="s">
        <v>19</v>
      </c>
      <c r="M42" s="31" t="s">
        <v>49</v>
      </c>
      <c r="N42" s="57"/>
    </row>
    <row r="43" spans="1:14" x14ac:dyDescent="0.25">
      <c r="A43" s="12"/>
      <c r="B43" s="12"/>
      <c r="C43" s="59"/>
      <c r="D43" s="12"/>
      <c r="E43" s="18"/>
      <c r="F43" s="12"/>
      <c r="G43" s="81"/>
      <c r="H43" s="12"/>
      <c r="I43" s="12"/>
      <c r="J43" s="61" t="str">
        <f>IF(H43&lt;&gt;"",H43*I43,"")</f>
        <v/>
      </c>
      <c r="K43" s="62"/>
      <c r="L43" s="30" t="s">
        <v>19</v>
      </c>
      <c r="M43" s="31" t="s">
        <v>49</v>
      </c>
      <c r="N43" s="57"/>
    </row>
    <row r="44" spans="1:14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1.0009999999999999</v>
      </c>
      <c r="I53" s="91">
        <f>H53*10</f>
        <v>10.009999999999998</v>
      </c>
      <c r="J53" s="92">
        <f>SUM(J48:J52,J42:J46)</f>
        <v>0</v>
      </c>
      <c r="K53" s="93">
        <f>J53/I53</f>
        <v>0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46126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1</v>
      </c>
      <c r="I56" s="54">
        <f>H56*10</f>
        <v>10</v>
      </c>
      <c r="J56" s="55">
        <f>SUM(J57:J61)/I56</f>
        <v>0</v>
      </c>
      <c r="K56" s="56" t="str">
        <f>SUM(J57:J61)&amp;" "&amp;"Hrs"&amp;" "&amp;"GRUPO 1"</f>
        <v>0 Hrs GRUPO 1</v>
      </c>
      <c r="L56" s="30" t="s">
        <v>19</v>
      </c>
      <c r="M56" s="31" t="s">
        <v>50</v>
      </c>
      <c r="N56" s="57"/>
    </row>
    <row r="57" spans="1:14" x14ac:dyDescent="0.25">
      <c r="A57" s="58"/>
      <c r="B57" s="12"/>
      <c r="C57" s="59"/>
      <c r="D57" s="12"/>
      <c r="E57" s="18"/>
      <c r="F57" s="58"/>
      <c r="G57" s="60"/>
      <c r="H57" s="12"/>
      <c r="I57" s="12"/>
      <c r="J57" s="61" t="str">
        <f>IF(H57&lt;&gt;"",H57*I57,"")</f>
        <v/>
      </c>
      <c r="K57" s="62"/>
      <c r="L57" s="30" t="s">
        <v>19</v>
      </c>
      <c r="M57" s="31" t="s">
        <v>50</v>
      </c>
      <c r="N57" s="57"/>
    </row>
    <row r="58" spans="1:14" x14ac:dyDescent="0.25">
      <c r="A58" s="12"/>
      <c r="B58" s="12"/>
      <c r="C58" s="59"/>
      <c r="D58" s="12"/>
      <c r="E58" s="18"/>
      <c r="F58" s="12"/>
      <c r="G58" s="81"/>
      <c r="H58" s="12"/>
      <c r="I58" s="12"/>
      <c r="J58" s="61" t="str">
        <f>IF(H58&lt;&gt;"",H58*I58,"")</f>
        <v/>
      </c>
      <c r="K58" s="62"/>
      <c r="L58" s="30" t="s">
        <v>19</v>
      </c>
      <c r="M58" s="31" t="s">
        <v>50</v>
      </c>
      <c r="N58" s="57"/>
    </row>
    <row r="59" spans="1:14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1.0009999999999999</v>
      </c>
      <c r="I68" s="91">
        <f>H68*10</f>
        <v>10.009999999999998</v>
      </c>
      <c r="J68" s="92">
        <f>SUM(J63:J67,J57:J61)</f>
        <v>0</v>
      </c>
      <c r="K68" s="93">
        <f>J68/I68</f>
        <v>0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46127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2</v>
      </c>
      <c r="I71" s="54">
        <f>H71*10</f>
        <v>20</v>
      </c>
      <c r="J71" s="55">
        <f>SUM(J72:J76)/I71</f>
        <v>0</v>
      </c>
      <c r="K71" s="56" t="str">
        <f>SUM(J72:J76)&amp;" "&amp;"Hrs"&amp;" "&amp;"GRUPO 1"</f>
        <v>0 Hrs GRUPO 1</v>
      </c>
      <c r="L71" s="30" t="s">
        <v>19</v>
      </c>
      <c r="M71" s="31" t="s">
        <v>51</v>
      </c>
      <c r="N71" s="57"/>
    </row>
    <row r="72" spans="1:14" x14ac:dyDescent="0.25">
      <c r="A72" s="58"/>
      <c r="B72" s="12"/>
      <c r="C72" s="59"/>
      <c r="D72" s="12"/>
      <c r="E72" s="18"/>
      <c r="F72" s="58"/>
      <c r="G72" s="60"/>
      <c r="H72" s="12"/>
      <c r="I72" s="12"/>
      <c r="J72" s="61" t="str">
        <f>IF(H72&lt;&gt;"",H72*I72,"")</f>
        <v/>
      </c>
      <c r="K72" s="62"/>
      <c r="L72" s="30" t="s">
        <v>19</v>
      </c>
      <c r="M72" s="31" t="s">
        <v>51</v>
      </c>
      <c r="N72" s="57"/>
    </row>
    <row r="73" spans="1:14" x14ac:dyDescent="0.25">
      <c r="A73" s="58"/>
      <c r="B73" s="12"/>
      <c r="C73" s="59"/>
      <c r="D73" s="12"/>
      <c r="E73" s="18"/>
      <c r="F73" s="58"/>
      <c r="G73" s="60"/>
      <c r="H73" s="12"/>
      <c r="I73" s="12"/>
      <c r="J73" s="61" t="str">
        <f>IF(H73&lt;&gt;"",H73*I73,"")</f>
        <v/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2.0009999999999999</v>
      </c>
      <c r="I83" s="91">
        <f>H83*10</f>
        <v>20.009999999999998</v>
      </c>
      <c r="J83" s="92">
        <f>SUM(J78:J82,J72:J76)</f>
        <v>0</v>
      </c>
      <c r="K83" s="93">
        <f>J83/I83</f>
        <v>0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46128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2</v>
      </c>
      <c r="I86" s="54">
        <f>H86*10</f>
        <v>20</v>
      </c>
      <c r="J86" s="55">
        <f>SUM(J87:J91)/I86</f>
        <v>0</v>
      </c>
      <c r="K86" s="56" t="str">
        <f>SUM(J87:J91)&amp;" "&amp;"Hrs"&amp;" "&amp;"GRUPO 1"</f>
        <v>0 Hrs GRUPO 1</v>
      </c>
      <c r="L86" s="30" t="s">
        <v>19</v>
      </c>
      <c r="M86" s="31" t="s">
        <v>52</v>
      </c>
      <c r="N86" s="57"/>
    </row>
    <row r="87" spans="1:14" x14ac:dyDescent="0.25">
      <c r="A87" s="58"/>
      <c r="B87" s="12"/>
      <c r="C87" s="59"/>
      <c r="D87" s="12"/>
      <c r="E87" s="18"/>
      <c r="F87" s="58"/>
      <c r="G87" s="60"/>
      <c r="H87" s="12"/>
      <c r="I87" s="12"/>
      <c r="J87" s="61" t="str">
        <f>IF(H87&lt;&gt;"",H87*I87,"")</f>
        <v/>
      </c>
      <c r="K87" s="62"/>
      <c r="L87" s="30" t="s">
        <v>19</v>
      </c>
      <c r="M87" s="31" t="s">
        <v>52</v>
      </c>
      <c r="N87" s="57"/>
    </row>
    <row r="88" spans="1:14" x14ac:dyDescent="0.25">
      <c r="A88" s="12"/>
      <c r="B88" s="12"/>
      <c r="C88" s="59"/>
      <c r="D88" s="12"/>
      <c r="E88" s="18"/>
      <c r="F88" s="12"/>
      <c r="G88" s="81"/>
      <c r="H88" s="12"/>
      <c r="I88" s="12"/>
      <c r="J88" s="61" t="str">
        <f>IF(H88&lt;&gt;"",H88*I88,"")</f>
        <v/>
      </c>
      <c r="K88" s="62"/>
      <c r="L88" s="30" t="s">
        <v>19</v>
      </c>
      <c r="M88" s="31" t="s">
        <v>52</v>
      </c>
      <c r="N88" s="57"/>
    </row>
    <row r="89" spans="1:14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2.0009999999999999</v>
      </c>
      <c r="I98" s="91">
        <f>H98*10</f>
        <v>20.009999999999998</v>
      </c>
      <c r="J98" s="92">
        <f>SUM(J87:J91)</f>
        <v>0</v>
      </c>
      <c r="K98" s="93">
        <f>J98/I98</f>
        <v>0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46129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2</v>
      </c>
      <c r="I101" s="54">
        <f>H101*10</f>
        <v>20</v>
      </c>
      <c r="J101" s="55">
        <f>SUM(J102:J106)/I101</f>
        <v>0</v>
      </c>
      <c r="K101" s="56" t="str">
        <f>SUM(J102:J106)&amp;" "&amp;"Hrs"&amp;" "&amp;"GRUPO 1"</f>
        <v>0 Hrs GRUPO 1</v>
      </c>
      <c r="L101" s="30" t="s">
        <v>19</v>
      </c>
      <c r="M101" s="31" t="s">
        <v>53</v>
      </c>
      <c r="N101" s="57"/>
    </row>
    <row r="102" spans="1:14" x14ac:dyDescent="0.25">
      <c r="A102" s="58"/>
      <c r="B102" s="12"/>
      <c r="C102" s="59"/>
      <c r="D102" s="12"/>
      <c r="E102" s="18"/>
      <c r="F102" s="58"/>
      <c r="G102" s="60"/>
      <c r="H102" s="12"/>
      <c r="I102" s="12"/>
      <c r="J102" s="61" t="str">
        <f>IF(H102&lt;&gt;"",H102*I102,"")</f>
        <v/>
      </c>
      <c r="K102" s="62"/>
      <c r="L102" s="30" t="s">
        <v>19</v>
      </c>
      <c r="M102" s="31" t="s">
        <v>53</v>
      </c>
      <c r="N102" s="110"/>
    </row>
    <row r="103" spans="1:14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2.0009999999999999</v>
      </c>
      <c r="I113" s="92">
        <f>H113*10</f>
        <v>20.009999999999998</v>
      </c>
      <c r="J113" s="92">
        <f>SUM(J108:J112,J102:J106)</f>
        <v>0</v>
      </c>
      <c r="K113" s="93">
        <f>J113/I113</f>
        <v>0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/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24" priority="1" stopIfTrue="1" operator="greaterThan">
      <formula>0.9</formula>
    </cfRule>
    <cfRule type="cellIs" dxfId="23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F2FE-9217-478E-83CC-046961546AB0}">
  <sheetPr filterMode="1">
    <pageSetUpPr fitToPage="1"/>
  </sheetPr>
  <dimension ref="A1:R292"/>
  <sheetViews>
    <sheetView tabSelected="1" view="pageBreakPreview" zoomScale="115" zoomScaleNormal="115" zoomScaleSheetLayoutView="115" workbookViewId="0">
      <selection activeCell="K155" sqref="K155"/>
    </sheetView>
  </sheetViews>
  <sheetFormatPr defaultRowHeight="15" x14ac:dyDescent="0.25"/>
  <cols>
    <col min="1" max="1" width="5.7109375" customWidth="1"/>
    <col min="2" max="2" width="6.7109375" customWidth="1"/>
    <col min="3" max="3" width="10.7109375" style="20" customWidth="1"/>
    <col min="4" max="4" width="6.140625" customWidth="1"/>
    <col min="5" max="5" width="21.85546875" customWidth="1"/>
    <col min="6" max="6" width="5" customWidth="1"/>
    <col min="7" max="7" width="26.140625" customWidth="1"/>
    <col min="8" max="8" width="13.5703125" customWidth="1"/>
    <col min="9" max="9" width="23.42578125" customWidth="1"/>
    <col min="10" max="10" width="8.28515625" customWidth="1"/>
    <col min="11" max="11" width="10.28515625" customWidth="1"/>
    <col min="12" max="12" width="5.5703125" customWidth="1"/>
    <col min="13" max="14" width="11.5703125" customWidth="1"/>
    <col min="15" max="15" width="8.7109375" customWidth="1"/>
    <col min="16" max="16" width="7.5703125" customWidth="1"/>
    <col min="17" max="17" width="9.7109375" customWidth="1"/>
    <col min="18" max="18" width="15.42578125" customWidth="1"/>
  </cols>
  <sheetData>
    <row r="1" spans="1:18" ht="40.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5"/>
      <c r="B2" s="6"/>
      <c r="C2" s="7"/>
      <c r="D2" s="7"/>
      <c r="E2" s="8"/>
      <c r="F2" s="7"/>
      <c r="G2" s="8" t="s">
        <v>54</v>
      </c>
      <c r="H2" s="7"/>
      <c r="I2" s="8"/>
      <c r="J2" s="9"/>
      <c r="K2" s="9"/>
      <c r="L2" s="9"/>
      <c r="M2" s="10"/>
      <c r="N2" s="10"/>
      <c r="O2" s="11"/>
      <c r="P2" s="9">
        <v>1</v>
      </c>
      <c r="Q2" s="11"/>
      <c r="R2" s="11"/>
    </row>
    <row r="3" spans="1:18" hidden="1" x14ac:dyDescent="0.25">
      <c r="A3" s="12">
        <v>1</v>
      </c>
      <c r="B3" s="13"/>
      <c r="C3" s="14">
        <v>890435</v>
      </c>
      <c r="D3" s="14" t="s">
        <v>91</v>
      </c>
      <c r="E3" s="15" t="s">
        <v>92</v>
      </c>
      <c r="F3" s="12" t="s">
        <v>93</v>
      </c>
      <c r="G3" s="15" t="s">
        <v>94</v>
      </c>
      <c r="H3" s="14" t="s">
        <v>95</v>
      </c>
      <c r="I3" s="15" t="s">
        <v>96</v>
      </c>
      <c r="J3" s="14">
        <v>1</v>
      </c>
      <c r="K3" s="14">
        <v>10</v>
      </c>
      <c r="L3" s="16">
        <f>J3*K3</f>
        <v>10</v>
      </c>
      <c r="M3" s="17">
        <v>46020</v>
      </c>
      <c r="N3" s="17">
        <v>46020</v>
      </c>
      <c r="O3" s="18" t="s">
        <v>36</v>
      </c>
      <c r="P3" s="12">
        <v>1</v>
      </c>
      <c r="Q3" s="19"/>
      <c r="R3" s="19"/>
    </row>
    <row r="4" spans="1:18" hidden="1" x14ac:dyDescent="0.25">
      <c r="A4" s="12">
        <v>2</v>
      </c>
      <c r="B4" s="13"/>
      <c r="C4" s="14">
        <v>890531</v>
      </c>
      <c r="D4" s="14" t="s">
        <v>91</v>
      </c>
      <c r="E4" s="15" t="s">
        <v>92</v>
      </c>
      <c r="F4" s="12" t="s">
        <v>93</v>
      </c>
      <c r="G4" s="15" t="s">
        <v>97</v>
      </c>
      <c r="H4" s="14" t="s">
        <v>98</v>
      </c>
      <c r="I4" s="15" t="s">
        <v>99</v>
      </c>
      <c r="J4" s="14">
        <v>1</v>
      </c>
      <c r="K4" s="14">
        <v>40</v>
      </c>
      <c r="L4" s="16">
        <f t="shared" ref="L4:L6" si="0">J4*K4</f>
        <v>40</v>
      </c>
      <c r="M4" s="17">
        <v>46021</v>
      </c>
      <c r="N4" s="17">
        <v>46024</v>
      </c>
      <c r="O4" s="18" t="s">
        <v>110</v>
      </c>
      <c r="P4" s="12">
        <v>1</v>
      </c>
      <c r="Q4" s="19"/>
      <c r="R4" s="19"/>
    </row>
    <row r="5" spans="1:18" hidden="1" x14ac:dyDescent="0.25">
      <c r="A5" s="12">
        <v>3</v>
      </c>
      <c r="B5" s="13"/>
      <c r="C5" s="14">
        <v>916728</v>
      </c>
      <c r="D5" s="14" t="s">
        <v>100</v>
      </c>
      <c r="E5" s="15" t="s">
        <v>101</v>
      </c>
      <c r="F5" s="12" t="s">
        <v>102</v>
      </c>
      <c r="G5" s="15" t="s">
        <v>104</v>
      </c>
      <c r="H5" s="14" t="s">
        <v>108</v>
      </c>
      <c r="I5" s="15" t="s">
        <v>109</v>
      </c>
      <c r="J5" s="14">
        <v>1</v>
      </c>
      <c r="K5" s="14">
        <v>10</v>
      </c>
      <c r="L5" s="16">
        <f t="shared" si="0"/>
        <v>10</v>
      </c>
      <c r="M5" s="17">
        <v>46025</v>
      </c>
      <c r="N5" s="17">
        <v>46025</v>
      </c>
      <c r="O5" s="18" t="s">
        <v>52</v>
      </c>
      <c r="P5" s="12">
        <v>1</v>
      </c>
      <c r="Q5" s="19"/>
      <c r="R5" s="19"/>
    </row>
    <row r="6" spans="1:18" hidden="1" x14ac:dyDescent="0.25">
      <c r="A6" s="12">
        <v>4</v>
      </c>
      <c r="B6" s="13"/>
      <c r="C6" s="14">
        <v>905033</v>
      </c>
      <c r="D6" s="14" t="s">
        <v>100</v>
      </c>
      <c r="E6" s="15" t="s">
        <v>101</v>
      </c>
      <c r="F6" s="12" t="s">
        <v>103</v>
      </c>
      <c r="G6" s="15" t="s">
        <v>105</v>
      </c>
      <c r="H6" s="14" t="s">
        <v>106</v>
      </c>
      <c r="I6" s="15" t="s">
        <v>107</v>
      </c>
      <c r="J6" s="14">
        <v>1</v>
      </c>
      <c r="K6" s="14">
        <v>10</v>
      </c>
      <c r="L6" s="16">
        <f t="shared" si="0"/>
        <v>10</v>
      </c>
      <c r="M6" s="17">
        <v>46026</v>
      </c>
      <c r="N6" s="17">
        <v>46026</v>
      </c>
      <c r="O6" s="18" t="s">
        <v>53</v>
      </c>
      <c r="P6" s="12">
        <v>1</v>
      </c>
      <c r="Q6" s="19"/>
      <c r="R6" s="19"/>
    </row>
    <row r="7" spans="1:18" hidden="1" x14ac:dyDescent="0.25">
      <c r="A7" s="5"/>
      <c r="B7" s="6"/>
      <c r="C7" s="7"/>
      <c r="D7" s="7"/>
      <c r="E7" s="8"/>
      <c r="F7" s="7"/>
      <c r="G7" s="8" t="s">
        <v>55</v>
      </c>
      <c r="H7" s="7"/>
      <c r="I7" s="8"/>
      <c r="J7" s="9"/>
      <c r="K7" s="9"/>
      <c r="L7" s="9"/>
      <c r="M7" s="10"/>
      <c r="N7" s="10"/>
      <c r="O7" s="11"/>
      <c r="P7" s="9">
        <v>2</v>
      </c>
      <c r="Q7" s="11"/>
      <c r="R7" s="11"/>
    </row>
    <row r="8" spans="1:18" hidden="1" x14ac:dyDescent="0.25">
      <c r="A8" s="12">
        <v>1</v>
      </c>
      <c r="B8" s="13"/>
      <c r="C8" s="14">
        <v>890460</v>
      </c>
      <c r="D8" s="14" t="s">
        <v>117</v>
      </c>
      <c r="E8" s="15" t="s">
        <v>118</v>
      </c>
      <c r="F8" s="12">
        <v>3</v>
      </c>
      <c r="G8" s="15" t="s">
        <v>111</v>
      </c>
      <c r="H8" s="14" t="s">
        <v>112</v>
      </c>
      <c r="I8" s="15" t="s">
        <v>113</v>
      </c>
      <c r="J8" s="14">
        <v>1</v>
      </c>
      <c r="K8" s="14">
        <v>10</v>
      </c>
      <c r="L8" s="16">
        <f t="shared" ref="L8:L12" si="1">IF(J8&lt;&gt;"",J8*K8,"")</f>
        <v>10</v>
      </c>
      <c r="M8" s="17">
        <v>46029</v>
      </c>
      <c r="N8" s="17">
        <v>46030</v>
      </c>
      <c r="O8" s="18" t="s">
        <v>140</v>
      </c>
      <c r="P8" s="12">
        <v>2</v>
      </c>
      <c r="Q8" s="19"/>
      <c r="R8" s="19"/>
    </row>
    <row r="9" spans="1:18" hidden="1" x14ac:dyDescent="0.25">
      <c r="A9" s="12">
        <v>2</v>
      </c>
      <c r="B9" s="13"/>
      <c r="C9" s="14">
        <v>890532</v>
      </c>
      <c r="D9" s="14" t="s">
        <v>117</v>
      </c>
      <c r="E9" s="15" t="s">
        <v>118</v>
      </c>
      <c r="F9" s="12">
        <v>3</v>
      </c>
      <c r="G9" s="15" t="s">
        <v>114</v>
      </c>
      <c r="H9" s="14" t="s">
        <v>115</v>
      </c>
      <c r="I9" s="15" t="s">
        <v>116</v>
      </c>
      <c r="J9" s="14">
        <v>1</v>
      </c>
      <c r="K9" s="14">
        <v>20</v>
      </c>
      <c r="L9" s="16">
        <f t="shared" si="1"/>
        <v>20</v>
      </c>
      <c r="M9" s="17">
        <v>46031</v>
      </c>
      <c r="N9" s="17">
        <v>46033</v>
      </c>
      <c r="O9" s="18" t="s">
        <v>141</v>
      </c>
      <c r="P9" s="12">
        <v>2</v>
      </c>
      <c r="Q9" s="19"/>
      <c r="R9" s="19"/>
    </row>
    <row r="10" spans="1:18" hidden="1" x14ac:dyDescent="0.25">
      <c r="A10" s="12">
        <v>3</v>
      </c>
      <c r="B10" s="13"/>
      <c r="C10" s="14">
        <v>893213</v>
      </c>
      <c r="D10" s="14" t="s">
        <v>119</v>
      </c>
      <c r="E10" s="15" t="s">
        <v>120</v>
      </c>
      <c r="F10" s="12">
        <v>3</v>
      </c>
      <c r="G10" s="15" t="s">
        <v>143</v>
      </c>
      <c r="H10" s="14" t="s">
        <v>122</v>
      </c>
      <c r="I10" s="15" t="s">
        <v>123</v>
      </c>
      <c r="J10" s="12">
        <v>1</v>
      </c>
      <c r="K10" s="12">
        <v>10</v>
      </c>
      <c r="L10" s="16">
        <f t="shared" si="1"/>
        <v>10</v>
      </c>
      <c r="M10" s="17">
        <v>46028</v>
      </c>
      <c r="N10" s="17">
        <v>46032</v>
      </c>
      <c r="O10" s="18" t="s">
        <v>142</v>
      </c>
      <c r="P10" s="12">
        <v>2</v>
      </c>
      <c r="Q10" s="19"/>
      <c r="R10" s="19"/>
    </row>
    <row r="11" spans="1:18" hidden="1" x14ac:dyDescent="0.25">
      <c r="A11" s="12">
        <v>4</v>
      </c>
      <c r="B11" s="13"/>
      <c r="C11" s="14">
        <v>921963</v>
      </c>
      <c r="D11" s="14" t="s">
        <v>127</v>
      </c>
      <c r="E11" s="15" t="s">
        <v>128</v>
      </c>
      <c r="F11" s="12">
        <v>3</v>
      </c>
      <c r="G11" s="15" t="s">
        <v>124</v>
      </c>
      <c r="H11" s="14" t="s">
        <v>125</v>
      </c>
      <c r="I11" s="15" t="s">
        <v>126</v>
      </c>
      <c r="J11" s="14">
        <v>1</v>
      </c>
      <c r="K11" s="14">
        <v>5</v>
      </c>
      <c r="L11" s="16">
        <f t="shared" si="1"/>
        <v>5</v>
      </c>
      <c r="M11" s="17">
        <v>46031</v>
      </c>
      <c r="N11" s="17">
        <v>46031</v>
      </c>
      <c r="O11" s="18" t="s">
        <v>27</v>
      </c>
      <c r="P11" s="12">
        <v>2</v>
      </c>
      <c r="Q11" s="19"/>
      <c r="R11" s="19"/>
    </row>
    <row r="12" spans="1:18" hidden="1" x14ac:dyDescent="0.25">
      <c r="A12" s="12">
        <v>5</v>
      </c>
      <c r="B12" s="13"/>
      <c r="C12" s="14">
        <v>906934</v>
      </c>
      <c r="D12" s="14" t="s">
        <v>127</v>
      </c>
      <c r="E12" s="15" t="s">
        <v>128</v>
      </c>
      <c r="F12" s="12">
        <v>4</v>
      </c>
      <c r="G12" s="15" t="s">
        <v>104</v>
      </c>
      <c r="H12" s="14" t="s">
        <v>129</v>
      </c>
      <c r="I12" s="15" t="s">
        <v>130</v>
      </c>
      <c r="J12" s="14">
        <v>1</v>
      </c>
      <c r="K12" s="14">
        <v>5</v>
      </c>
      <c r="L12" s="16">
        <f t="shared" si="1"/>
        <v>5</v>
      </c>
      <c r="M12" s="17">
        <v>46029</v>
      </c>
      <c r="N12" s="17">
        <v>46029</v>
      </c>
      <c r="O12" s="18" t="s">
        <v>23</v>
      </c>
      <c r="P12" s="12">
        <v>2</v>
      </c>
      <c r="Q12" s="19"/>
      <c r="R12" s="19"/>
    </row>
    <row r="13" spans="1:18" hidden="1" x14ac:dyDescent="0.25">
      <c r="A13" s="12">
        <v>6</v>
      </c>
      <c r="B13" s="13"/>
      <c r="C13" s="14">
        <v>908249</v>
      </c>
      <c r="D13" s="14" t="s">
        <v>127</v>
      </c>
      <c r="E13" s="15" t="s">
        <v>128</v>
      </c>
      <c r="F13" s="12">
        <v>4</v>
      </c>
      <c r="G13" s="15" t="s">
        <v>104</v>
      </c>
      <c r="H13" s="14" t="s">
        <v>131</v>
      </c>
      <c r="I13" s="15" t="s">
        <v>132</v>
      </c>
      <c r="J13" s="14">
        <v>1</v>
      </c>
      <c r="K13" s="14">
        <v>5</v>
      </c>
      <c r="L13" s="16">
        <f>IF(J13&lt;&gt;"",J13*K13,"")</f>
        <v>5</v>
      </c>
      <c r="M13" s="17">
        <v>46030</v>
      </c>
      <c r="N13" s="17">
        <v>46030</v>
      </c>
      <c r="O13" s="18" t="s">
        <v>25</v>
      </c>
      <c r="P13" s="12">
        <v>2</v>
      </c>
      <c r="Q13" s="19"/>
      <c r="R13" s="19"/>
    </row>
    <row r="14" spans="1:18" hidden="1" x14ac:dyDescent="0.25">
      <c r="A14" s="12">
        <v>7</v>
      </c>
      <c r="B14" s="13"/>
      <c r="C14" s="14">
        <v>916727</v>
      </c>
      <c r="D14" s="14" t="s">
        <v>127</v>
      </c>
      <c r="E14" s="15" t="s">
        <v>128</v>
      </c>
      <c r="F14" s="12">
        <v>3</v>
      </c>
      <c r="G14" s="15" t="s">
        <v>104</v>
      </c>
      <c r="H14" s="14" t="s">
        <v>115</v>
      </c>
      <c r="I14" s="15" t="s">
        <v>116</v>
      </c>
      <c r="J14" s="14">
        <v>1</v>
      </c>
      <c r="K14" s="14">
        <v>5</v>
      </c>
      <c r="L14" s="16">
        <f t="shared" ref="L14:L16" si="2">IF(J14&lt;&gt;"",J14*K14,"")</f>
        <v>5</v>
      </c>
      <c r="M14" s="17">
        <v>46028</v>
      </c>
      <c r="N14" s="17">
        <v>46028</v>
      </c>
      <c r="O14" s="18" t="s">
        <v>20</v>
      </c>
      <c r="P14" s="12">
        <v>2</v>
      </c>
      <c r="Q14" s="19"/>
      <c r="R14" s="19"/>
    </row>
    <row r="15" spans="1:18" hidden="1" x14ac:dyDescent="0.25">
      <c r="A15" s="12">
        <v>8</v>
      </c>
      <c r="B15" s="13"/>
      <c r="C15" s="14">
        <v>921969</v>
      </c>
      <c r="D15" s="14" t="s">
        <v>127</v>
      </c>
      <c r="E15" s="15" t="s">
        <v>128</v>
      </c>
      <c r="F15" s="12">
        <v>3</v>
      </c>
      <c r="G15" s="15" t="s">
        <v>133</v>
      </c>
      <c r="H15" s="14" t="s">
        <v>134</v>
      </c>
      <c r="I15" s="15" t="s">
        <v>135</v>
      </c>
      <c r="J15" s="14">
        <v>1</v>
      </c>
      <c r="K15" s="14">
        <v>10</v>
      </c>
      <c r="L15" s="16">
        <f t="shared" ref="L15" si="3">IF(J15&lt;&gt;"",J15*K15,"")</f>
        <v>10</v>
      </c>
      <c r="M15" s="17">
        <v>46027</v>
      </c>
      <c r="N15" s="17">
        <v>46027</v>
      </c>
      <c r="O15" s="18" t="s">
        <v>18</v>
      </c>
      <c r="P15" s="12">
        <v>2</v>
      </c>
      <c r="Q15" s="19"/>
      <c r="R15" s="19"/>
    </row>
    <row r="16" spans="1:18" hidden="1" x14ac:dyDescent="0.25">
      <c r="A16" s="12">
        <v>9</v>
      </c>
      <c r="B16" s="13"/>
      <c r="C16" s="14">
        <v>921957</v>
      </c>
      <c r="D16" s="14" t="s">
        <v>127</v>
      </c>
      <c r="E16" s="15" t="s">
        <v>128</v>
      </c>
      <c r="F16" s="12">
        <v>3</v>
      </c>
      <c r="G16" s="15" t="s">
        <v>137</v>
      </c>
      <c r="H16" s="14" t="s">
        <v>138</v>
      </c>
      <c r="I16" s="15" t="s">
        <v>139</v>
      </c>
      <c r="J16" s="14">
        <v>1</v>
      </c>
      <c r="K16" s="14">
        <v>10</v>
      </c>
      <c r="L16" s="16">
        <f t="shared" si="2"/>
        <v>10</v>
      </c>
      <c r="M16" s="17">
        <v>46028</v>
      </c>
      <c r="N16" s="17">
        <v>46028</v>
      </c>
      <c r="O16" s="18" t="s">
        <v>20</v>
      </c>
      <c r="P16" s="12">
        <v>2</v>
      </c>
      <c r="Q16" s="19"/>
      <c r="R16" s="19"/>
    </row>
    <row r="17" spans="1:18" hidden="1" x14ac:dyDescent="0.25">
      <c r="A17" s="5"/>
      <c r="B17" s="6"/>
      <c r="C17" s="7"/>
      <c r="D17" s="7"/>
      <c r="E17" s="8"/>
      <c r="F17" s="7"/>
      <c r="G17" s="8" t="s">
        <v>56</v>
      </c>
      <c r="H17" s="7"/>
      <c r="I17" s="8"/>
      <c r="J17" s="9"/>
      <c r="K17" s="9"/>
      <c r="L17" s="9"/>
      <c r="M17" s="10"/>
      <c r="N17" s="10"/>
      <c r="O17" s="11"/>
      <c r="P17" s="9">
        <v>3</v>
      </c>
      <c r="Q17" s="11"/>
      <c r="R17" s="11"/>
    </row>
    <row r="18" spans="1:18" hidden="1" x14ac:dyDescent="0.25">
      <c r="A18" s="12">
        <v>1</v>
      </c>
      <c r="B18" s="13"/>
      <c r="C18" s="14">
        <v>890365</v>
      </c>
      <c r="D18" s="14" t="s">
        <v>91</v>
      </c>
      <c r="E18" s="15" t="s">
        <v>92</v>
      </c>
      <c r="F18" s="12" t="s">
        <v>93</v>
      </c>
      <c r="G18" s="15" t="s">
        <v>147</v>
      </c>
      <c r="H18" s="14" t="s">
        <v>148</v>
      </c>
      <c r="I18" s="15" t="s">
        <v>149</v>
      </c>
      <c r="J18" s="14">
        <v>1</v>
      </c>
      <c r="K18" s="14">
        <v>10</v>
      </c>
      <c r="L18" s="16">
        <f>J18*K18</f>
        <v>10</v>
      </c>
      <c r="M18" s="17">
        <v>46034</v>
      </c>
      <c r="N18" s="17">
        <v>46034</v>
      </c>
      <c r="O18" s="18" t="s">
        <v>18</v>
      </c>
      <c r="P18" s="12">
        <v>3</v>
      </c>
      <c r="R18" s="19"/>
    </row>
    <row r="19" spans="1:18" hidden="1" x14ac:dyDescent="0.25">
      <c r="A19" s="12">
        <v>2</v>
      </c>
      <c r="B19" s="13"/>
      <c r="C19" s="14">
        <v>890372</v>
      </c>
      <c r="D19" s="14" t="s">
        <v>91</v>
      </c>
      <c r="E19" s="15" t="s">
        <v>92</v>
      </c>
      <c r="F19" s="12" t="s">
        <v>93</v>
      </c>
      <c r="G19" s="15" t="s">
        <v>144</v>
      </c>
      <c r="H19" s="14" t="s">
        <v>152</v>
      </c>
      <c r="I19" s="15" t="s">
        <v>153</v>
      </c>
      <c r="J19" s="14">
        <v>1</v>
      </c>
      <c r="K19" s="14">
        <v>5</v>
      </c>
      <c r="L19" s="16">
        <f t="shared" ref="L19:L25" si="4">J19*K19</f>
        <v>5</v>
      </c>
      <c r="M19" s="17">
        <v>46035</v>
      </c>
      <c r="N19" s="17">
        <v>46035</v>
      </c>
      <c r="O19" s="18" t="s">
        <v>20</v>
      </c>
      <c r="P19" s="12">
        <v>3</v>
      </c>
      <c r="R19" s="19"/>
    </row>
    <row r="20" spans="1:18" hidden="1" x14ac:dyDescent="0.25">
      <c r="A20" s="12">
        <v>3</v>
      </c>
      <c r="B20" s="13"/>
      <c r="C20" s="14">
        <v>893297</v>
      </c>
      <c r="D20" s="14" t="s">
        <v>159</v>
      </c>
      <c r="E20" s="15" t="s">
        <v>160</v>
      </c>
      <c r="F20" s="12" t="s">
        <v>93</v>
      </c>
      <c r="G20" s="15" t="s">
        <v>161</v>
      </c>
      <c r="H20" s="14" t="s">
        <v>162</v>
      </c>
      <c r="I20" s="15" t="s">
        <v>163</v>
      </c>
      <c r="J20" s="14">
        <v>1</v>
      </c>
      <c r="K20" s="14">
        <v>5</v>
      </c>
      <c r="L20" s="16">
        <f t="shared" si="4"/>
        <v>5</v>
      </c>
      <c r="M20" s="17">
        <v>46035</v>
      </c>
      <c r="N20" s="17">
        <v>46035</v>
      </c>
      <c r="O20" s="18" t="s">
        <v>20</v>
      </c>
      <c r="P20" s="12">
        <v>3</v>
      </c>
      <c r="R20" s="19"/>
    </row>
    <row r="21" spans="1:18" hidden="1" x14ac:dyDescent="0.25">
      <c r="A21" s="12">
        <v>4</v>
      </c>
      <c r="B21" s="13"/>
      <c r="C21" s="14">
        <v>890370</v>
      </c>
      <c r="D21" s="14" t="s">
        <v>91</v>
      </c>
      <c r="E21" s="15" t="s">
        <v>92</v>
      </c>
      <c r="F21" s="12" t="s">
        <v>93</v>
      </c>
      <c r="G21" s="15" t="s">
        <v>144</v>
      </c>
      <c r="H21" s="14" t="s">
        <v>150</v>
      </c>
      <c r="I21" s="15" t="s">
        <v>151</v>
      </c>
      <c r="J21" s="14">
        <v>1</v>
      </c>
      <c r="K21" s="14">
        <v>10</v>
      </c>
      <c r="L21" s="16">
        <f t="shared" si="4"/>
        <v>10</v>
      </c>
      <c r="M21" s="17">
        <v>46036</v>
      </c>
      <c r="N21" s="17">
        <v>46036</v>
      </c>
      <c r="O21" s="18" t="s">
        <v>23</v>
      </c>
      <c r="P21" s="12">
        <v>3</v>
      </c>
      <c r="R21" s="19"/>
    </row>
    <row r="22" spans="1:18" hidden="1" x14ac:dyDescent="0.25">
      <c r="A22" s="12">
        <v>5</v>
      </c>
      <c r="B22" s="13"/>
      <c r="C22" s="14">
        <v>890250</v>
      </c>
      <c r="D22" s="14" t="s">
        <v>91</v>
      </c>
      <c r="E22" s="15" t="s">
        <v>92</v>
      </c>
      <c r="F22" s="12" t="s">
        <v>93</v>
      </c>
      <c r="G22" s="15" t="s">
        <v>144</v>
      </c>
      <c r="H22" s="14" t="s">
        <v>145</v>
      </c>
      <c r="I22" s="15" t="s">
        <v>146</v>
      </c>
      <c r="J22" s="14">
        <v>1</v>
      </c>
      <c r="K22" s="14">
        <v>10</v>
      </c>
      <c r="L22" s="16">
        <f t="shared" si="4"/>
        <v>10</v>
      </c>
      <c r="M22" s="17">
        <v>46037</v>
      </c>
      <c r="N22" s="17">
        <v>46037</v>
      </c>
      <c r="O22" s="18" t="s">
        <v>25</v>
      </c>
      <c r="P22" s="12">
        <v>3</v>
      </c>
      <c r="R22" s="19"/>
    </row>
    <row r="23" spans="1:18" hidden="1" x14ac:dyDescent="0.25">
      <c r="A23" s="12">
        <v>6</v>
      </c>
      <c r="B23" s="13"/>
      <c r="C23" s="14">
        <v>890374</v>
      </c>
      <c r="D23" s="14" t="s">
        <v>91</v>
      </c>
      <c r="E23" s="15" t="s">
        <v>92</v>
      </c>
      <c r="F23" s="12" t="s">
        <v>93</v>
      </c>
      <c r="G23" s="15" t="s">
        <v>144</v>
      </c>
      <c r="H23" s="14" t="s">
        <v>154</v>
      </c>
      <c r="I23" s="15" t="s">
        <v>155</v>
      </c>
      <c r="J23" s="14">
        <v>2</v>
      </c>
      <c r="K23" s="14">
        <v>10</v>
      </c>
      <c r="L23" s="16">
        <f t="shared" si="4"/>
        <v>20</v>
      </c>
      <c r="M23" s="17">
        <v>46038</v>
      </c>
      <c r="N23" s="17">
        <v>46038</v>
      </c>
      <c r="O23" s="18" t="s">
        <v>27</v>
      </c>
      <c r="P23" s="12">
        <v>3</v>
      </c>
      <c r="R23" s="19"/>
    </row>
    <row r="24" spans="1:18" hidden="1" x14ac:dyDescent="0.25">
      <c r="A24" s="12">
        <v>7</v>
      </c>
      <c r="B24" s="13"/>
      <c r="C24" s="14">
        <v>890375</v>
      </c>
      <c r="D24" s="14" t="s">
        <v>91</v>
      </c>
      <c r="E24" s="15" t="s">
        <v>92</v>
      </c>
      <c r="F24" s="12" t="s">
        <v>93</v>
      </c>
      <c r="G24" s="15" t="s">
        <v>144</v>
      </c>
      <c r="H24" s="14" t="s">
        <v>156</v>
      </c>
      <c r="I24" s="15" t="s">
        <v>157</v>
      </c>
      <c r="J24" s="14">
        <v>2</v>
      </c>
      <c r="K24" s="14">
        <v>10</v>
      </c>
      <c r="L24" s="16">
        <f t="shared" si="4"/>
        <v>20</v>
      </c>
      <c r="M24" s="17">
        <v>46039</v>
      </c>
      <c r="N24" s="17">
        <v>46039</v>
      </c>
      <c r="O24" s="18" t="s">
        <v>30</v>
      </c>
      <c r="P24" s="12">
        <v>3</v>
      </c>
      <c r="R24" s="19"/>
    </row>
    <row r="25" spans="1:18" hidden="1" x14ac:dyDescent="0.25">
      <c r="A25" s="12">
        <v>8</v>
      </c>
      <c r="B25" s="13"/>
      <c r="C25" s="14">
        <v>922713</v>
      </c>
      <c r="D25" s="14" t="s">
        <v>100</v>
      </c>
      <c r="E25" s="15" t="s">
        <v>101</v>
      </c>
      <c r="F25" s="12" t="s">
        <v>103</v>
      </c>
      <c r="G25" s="15" t="s">
        <v>164</v>
      </c>
      <c r="H25" s="14" t="s">
        <v>158</v>
      </c>
      <c r="I25" s="15" t="s">
        <v>165</v>
      </c>
      <c r="J25" s="14">
        <v>2</v>
      </c>
      <c r="K25" s="14">
        <v>10</v>
      </c>
      <c r="L25" s="16">
        <f t="shared" si="4"/>
        <v>20</v>
      </c>
      <c r="M25" s="17">
        <v>46040</v>
      </c>
      <c r="N25" s="17">
        <v>46040</v>
      </c>
      <c r="O25" s="18" t="s">
        <v>32</v>
      </c>
      <c r="P25" s="12">
        <v>3</v>
      </c>
      <c r="R25" s="19"/>
    </row>
    <row r="26" spans="1:18" hidden="1" x14ac:dyDescent="0.25">
      <c r="A26" s="12"/>
      <c r="B26" s="13"/>
      <c r="C26" s="14"/>
      <c r="D26" s="14"/>
      <c r="E26" s="15"/>
      <c r="F26" s="12"/>
      <c r="G26" s="15"/>
      <c r="H26" s="14"/>
      <c r="I26" s="15"/>
      <c r="J26" s="14"/>
      <c r="K26" s="14"/>
      <c r="L26" s="16" t="str">
        <f t="shared" ref="L26" si="5">IF(J26&lt;&gt;"",J26*K26,"")</f>
        <v/>
      </c>
      <c r="M26" s="17"/>
      <c r="N26" s="17"/>
      <c r="O26" s="18"/>
      <c r="P26" s="12">
        <v>3</v>
      </c>
      <c r="R26" s="19"/>
    </row>
    <row r="27" spans="1:18" hidden="1" x14ac:dyDescent="0.25">
      <c r="A27" s="5"/>
      <c r="B27" s="6"/>
      <c r="C27" s="7"/>
      <c r="D27" s="7"/>
      <c r="E27" s="8"/>
      <c r="F27" s="7"/>
      <c r="G27" s="8" t="s">
        <v>57</v>
      </c>
      <c r="H27" s="7"/>
      <c r="I27" s="8"/>
      <c r="J27" s="9"/>
      <c r="K27" s="9"/>
      <c r="L27" s="9"/>
      <c r="M27" s="10"/>
      <c r="N27" s="10"/>
      <c r="O27" s="11"/>
      <c r="P27" s="9">
        <v>4</v>
      </c>
      <c r="Q27" s="11"/>
      <c r="R27" s="11"/>
    </row>
    <row r="28" spans="1:18" hidden="1" x14ac:dyDescent="0.25">
      <c r="A28" s="12">
        <v>1</v>
      </c>
      <c r="B28" s="13"/>
      <c r="C28" s="14">
        <v>893354</v>
      </c>
      <c r="D28" s="14" t="s">
        <v>159</v>
      </c>
      <c r="E28" s="15" t="s">
        <v>160</v>
      </c>
      <c r="F28" s="12" t="s">
        <v>93</v>
      </c>
      <c r="G28" s="15" t="s">
        <v>176</v>
      </c>
      <c r="H28" s="14" t="s">
        <v>174</v>
      </c>
      <c r="I28" s="15" t="s">
        <v>175</v>
      </c>
      <c r="J28" s="14">
        <v>2</v>
      </c>
      <c r="K28" s="14">
        <v>5</v>
      </c>
      <c r="L28" s="14">
        <f>J28*K28</f>
        <v>10</v>
      </c>
      <c r="M28" s="17">
        <v>46041</v>
      </c>
      <c r="N28" s="17">
        <v>46041</v>
      </c>
      <c r="O28" s="18" t="s">
        <v>36</v>
      </c>
      <c r="P28" s="12">
        <v>4</v>
      </c>
      <c r="Q28" s="19"/>
      <c r="R28" s="19"/>
    </row>
    <row r="29" spans="1:18" hidden="1" x14ac:dyDescent="0.25">
      <c r="A29" s="12">
        <v>2</v>
      </c>
      <c r="B29" s="13"/>
      <c r="C29" s="14">
        <v>923611</v>
      </c>
      <c r="D29" s="14" t="s">
        <v>100</v>
      </c>
      <c r="E29" s="15" t="s">
        <v>101</v>
      </c>
      <c r="F29" s="12" t="s">
        <v>103</v>
      </c>
      <c r="G29" s="15" t="s">
        <v>177</v>
      </c>
      <c r="H29" s="14" t="s">
        <v>173</v>
      </c>
      <c r="I29" s="15" t="s">
        <v>178</v>
      </c>
      <c r="J29" s="14">
        <v>2</v>
      </c>
      <c r="K29" s="14">
        <v>5</v>
      </c>
      <c r="L29" s="14">
        <f t="shared" ref="L29:L32" si="6">J29*K29</f>
        <v>10</v>
      </c>
      <c r="M29" s="17">
        <v>46041</v>
      </c>
      <c r="N29" s="17">
        <v>46041</v>
      </c>
      <c r="O29" s="18" t="s">
        <v>36</v>
      </c>
      <c r="P29" s="12">
        <v>4</v>
      </c>
      <c r="Q29" s="19"/>
      <c r="R29" s="19"/>
    </row>
    <row r="30" spans="1:18" hidden="1" x14ac:dyDescent="0.25">
      <c r="A30" s="12">
        <v>3</v>
      </c>
      <c r="B30" s="13"/>
      <c r="C30" s="14">
        <v>890253</v>
      </c>
      <c r="D30" s="14" t="s">
        <v>91</v>
      </c>
      <c r="E30" s="15" t="s">
        <v>92</v>
      </c>
      <c r="F30" s="12" t="s">
        <v>93</v>
      </c>
      <c r="G30" s="15" t="s">
        <v>144</v>
      </c>
      <c r="H30" s="14" t="s">
        <v>166</v>
      </c>
      <c r="I30" s="15" t="s">
        <v>167</v>
      </c>
      <c r="J30" s="14">
        <v>2</v>
      </c>
      <c r="K30" s="14">
        <v>10</v>
      </c>
      <c r="L30" s="14">
        <f t="shared" si="6"/>
        <v>20</v>
      </c>
      <c r="M30" s="17">
        <v>46042</v>
      </c>
      <c r="N30" s="17">
        <v>46042</v>
      </c>
      <c r="O30" s="18" t="s">
        <v>48</v>
      </c>
      <c r="P30" s="12">
        <v>4</v>
      </c>
      <c r="Q30" s="19"/>
      <c r="R30" s="19"/>
    </row>
    <row r="31" spans="1:18" hidden="1" x14ac:dyDescent="0.25">
      <c r="A31" s="12">
        <v>4</v>
      </c>
      <c r="B31" s="13"/>
      <c r="C31" s="14">
        <v>890373</v>
      </c>
      <c r="D31" s="14" t="s">
        <v>91</v>
      </c>
      <c r="E31" s="15" t="s">
        <v>92</v>
      </c>
      <c r="F31" s="12" t="s">
        <v>93</v>
      </c>
      <c r="G31" s="15" t="s">
        <v>144</v>
      </c>
      <c r="H31" s="14" t="s">
        <v>168</v>
      </c>
      <c r="I31" s="15" t="s">
        <v>169</v>
      </c>
      <c r="J31" s="14">
        <v>2</v>
      </c>
      <c r="K31" s="14">
        <v>20</v>
      </c>
      <c r="L31" s="14">
        <f t="shared" si="6"/>
        <v>40</v>
      </c>
      <c r="M31" s="17">
        <v>46043</v>
      </c>
      <c r="N31" s="17">
        <v>46044</v>
      </c>
      <c r="O31" s="18" t="s">
        <v>179</v>
      </c>
      <c r="P31" s="12">
        <v>4</v>
      </c>
      <c r="Q31" s="19"/>
      <c r="R31" s="19"/>
    </row>
    <row r="32" spans="1:18" hidden="1" x14ac:dyDescent="0.25">
      <c r="A32" s="12">
        <v>5</v>
      </c>
      <c r="B32" s="13"/>
      <c r="C32" s="14">
        <v>890533</v>
      </c>
      <c r="D32" s="14" t="s">
        <v>91</v>
      </c>
      <c r="E32" s="15" t="s">
        <v>92</v>
      </c>
      <c r="F32" s="12" t="s">
        <v>93</v>
      </c>
      <c r="G32" s="15" t="s">
        <v>170</v>
      </c>
      <c r="H32" s="14" t="s">
        <v>171</v>
      </c>
      <c r="I32" s="15" t="s">
        <v>172</v>
      </c>
      <c r="J32" s="14">
        <v>1</v>
      </c>
      <c r="K32" s="14">
        <v>30</v>
      </c>
      <c r="L32" s="14">
        <f t="shared" si="6"/>
        <v>30</v>
      </c>
      <c r="M32" s="17">
        <v>46045</v>
      </c>
      <c r="N32" s="17">
        <v>46047</v>
      </c>
      <c r="O32" s="18" t="s">
        <v>180</v>
      </c>
      <c r="P32" s="12">
        <v>4</v>
      </c>
      <c r="Q32" s="19"/>
      <c r="R32" s="19"/>
    </row>
    <row r="33" spans="1:18" hidden="1" x14ac:dyDescent="0.25">
      <c r="A33" s="5"/>
      <c r="B33" s="6"/>
      <c r="C33" s="7"/>
      <c r="D33" s="7"/>
      <c r="E33" s="8"/>
      <c r="F33" s="7"/>
      <c r="G33" s="8" t="s">
        <v>58</v>
      </c>
      <c r="H33" s="7"/>
      <c r="I33" s="8"/>
      <c r="J33" s="9"/>
      <c r="K33" s="9"/>
      <c r="L33" s="9"/>
      <c r="M33" s="10"/>
      <c r="N33" s="10"/>
      <c r="O33" s="11"/>
      <c r="P33" s="9">
        <v>5</v>
      </c>
      <c r="Q33" s="11"/>
      <c r="R33" s="11"/>
    </row>
    <row r="34" spans="1:18" hidden="1" x14ac:dyDescent="0.25">
      <c r="A34" s="12">
        <v>1</v>
      </c>
      <c r="B34" s="13"/>
      <c r="C34" s="14">
        <v>890376</v>
      </c>
      <c r="D34" s="14" t="s">
        <v>117</v>
      </c>
      <c r="E34" s="15" t="s">
        <v>118</v>
      </c>
      <c r="F34" s="12">
        <v>3</v>
      </c>
      <c r="G34" s="15" t="s">
        <v>144</v>
      </c>
      <c r="H34" s="14" t="s">
        <v>181</v>
      </c>
      <c r="I34" s="15" t="s">
        <v>182</v>
      </c>
      <c r="J34" s="14">
        <v>1</v>
      </c>
      <c r="K34" s="14">
        <v>10</v>
      </c>
      <c r="L34" s="16">
        <f t="shared" ref="L34:L39" si="7">IF(J34&lt;&gt;"",J34*K34,"")</f>
        <v>10</v>
      </c>
      <c r="M34" s="17">
        <v>47146</v>
      </c>
      <c r="N34" s="17">
        <v>47146</v>
      </c>
      <c r="O34" s="18" t="s">
        <v>23</v>
      </c>
      <c r="P34" s="12">
        <v>5</v>
      </c>
      <c r="Q34" s="19"/>
      <c r="R34" s="19"/>
    </row>
    <row r="35" spans="1:18" hidden="1" x14ac:dyDescent="0.25">
      <c r="A35" s="12">
        <v>2</v>
      </c>
      <c r="B35" s="13"/>
      <c r="C35" s="14">
        <v>890398</v>
      </c>
      <c r="D35" s="14" t="s">
        <v>117</v>
      </c>
      <c r="E35" s="15" t="s">
        <v>118</v>
      </c>
      <c r="F35" s="12">
        <v>3</v>
      </c>
      <c r="G35" s="15" t="s">
        <v>183</v>
      </c>
      <c r="H35" s="14" t="s">
        <v>184</v>
      </c>
      <c r="I35" s="15" t="s">
        <v>185</v>
      </c>
      <c r="J35" s="14">
        <v>1</v>
      </c>
      <c r="K35" s="14">
        <v>18</v>
      </c>
      <c r="L35" s="16">
        <f t="shared" si="7"/>
        <v>18</v>
      </c>
      <c r="M35" s="17">
        <v>46048</v>
      </c>
      <c r="N35" s="17">
        <v>46049</v>
      </c>
      <c r="O35" s="18" t="s">
        <v>194</v>
      </c>
      <c r="P35" s="12">
        <v>5</v>
      </c>
      <c r="Q35" s="19"/>
      <c r="R35" s="19"/>
    </row>
    <row r="36" spans="1:18" hidden="1" x14ac:dyDescent="0.25">
      <c r="A36" s="12">
        <v>3</v>
      </c>
      <c r="B36" s="13"/>
      <c r="C36" s="14">
        <v>921963</v>
      </c>
      <c r="D36" s="14" t="s">
        <v>127</v>
      </c>
      <c r="E36" s="15" t="s">
        <v>128</v>
      </c>
      <c r="F36" s="12">
        <v>3</v>
      </c>
      <c r="G36" s="15" t="s">
        <v>124</v>
      </c>
      <c r="H36" s="14" t="s">
        <v>125</v>
      </c>
      <c r="I36" s="15" t="s">
        <v>126</v>
      </c>
      <c r="J36" s="14">
        <v>1</v>
      </c>
      <c r="K36" s="14">
        <v>2</v>
      </c>
      <c r="L36" s="16">
        <f t="shared" si="7"/>
        <v>2</v>
      </c>
      <c r="M36" s="17">
        <v>46049</v>
      </c>
      <c r="N36" s="17">
        <v>46049</v>
      </c>
      <c r="O36" s="18" t="s">
        <v>20</v>
      </c>
      <c r="P36" s="12">
        <v>5</v>
      </c>
      <c r="Q36" s="19"/>
      <c r="R36" s="19"/>
    </row>
    <row r="37" spans="1:18" hidden="1" x14ac:dyDescent="0.25">
      <c r="A37" s="12">
        <v>4</v>
      </c>
      <c r="B37" s="13"/>
      <c r="C37" s="14">
        <v>919332</v>
      </c>
      <c r="D37" s="14" t="s">
        <v>127</v>
      </c>
      <c r="E37" s="15" t="s">
        <v>128</v>
      </c>
      <c r="F37" s="12">
        <v>3</v>
      </c>
      <c r="G37" s="15" t="s">
        <v>104</v>
      </c>
      <c r="H37" s="14" t="s">
        <v>186</v>
      </c>
      <c r="I37" s="15" t="s">
        <v>187</v>
      </c>
      <c r="J37" s="12">
        <v>1</v>
      </c>
      <c r="K37" s="12">
        <v>4</v>
      </c>
      <c r="L37" s="16">
        <f t="shared" si="7"/>
        <v>4</v>
      </c>
      <c r="M37" s="17">
        <v>46051</v>
      </c>
      <c r="N37" s="17">
        <v>46051</v>
      </c>
      <c r="O37" s="18" t="s">
        <v>25</v>
      </c>
      <c r="P37" s="12">
        <v>5</v>
      </c>
      <c r="Q37" s="19"/>
      <c r="R37" s="19"/>
    </row>
    <row r="38" spans="1:18" hidden="1" x14ac:dyDescent="0.25">
      <c r="A38" s="12">
        <v>5</v>
      </c>
      <c r="B38" s="13"/>
      <c r="C38" s="14">
        <v>913463</v>
      </c>
      <c r="D38" s="14" t="s">
        <v>127</v>
      </c>
      <c r="E38" s="15" t="s">
        <v>128</v>
      </c>
      <c r="F38" s="12">
        <v>3</v>
      </c>
      <c r="G38" s="15" t="s">
        <v>104</v>
      </c>
      <c r="H38" s="14" t="s">
        <v>188</v>
      </c>
      <c r="I38" s="15" t="s">
        <v>189</v>
      </c>
      <c r="J38" s="14">
        <v>1</v>
      </c>
      <c r="K38" s="14">
        <v>4</v>
      </c>
      <c r="L38" s="16">
        <f t="shared" si="7"/>
        <v>4</v>
      </c>
      <c r="M38" s="17">
        <v>46051</v>
      </c>
      <c r="N38" s="17">
        <v>46051</v>
      </c>
      <c r="O38" s="18" t="s">
        <v>25</v>
      </c>
      <c r="P38" s="12">
        <v>5</v>
      </c>
      <c r="Q38" s="19"/>
      <c r="R38" s="19"/>
    </row>
    <row r="39" spans="1:18" hidden="1" x14ac:dyDescent="0.25">
      <c r="A39" s="12">
        <v>6</v>
      </c>
      <c r="B39" s="13"/>
      <c r="C39" s="14">
        <v>924606</v>
      </c>
      <c r="D39" s="14" t="s">
        <v>127</v>
      </c>
      <c r="E39" s="15" t="s">
        <v>128</v>
      </c>
      <c r="F39" s="12">
        <v>3</v>
      </c>
      <c r="G39" s="15" t="s">
        <v>190</v>
      </c>
      <c r="H39" s="14" t="s">
        <v>191</v>
      </c>
      <c r="I39" s="15" t="s">
        <v>192</v>
      </c>
      <c r="J39" s="14">
        <v>1</v>
      </c>
      <c r="K39" s="14">
        <v>2</v>
      </c>
      <c r="L39" s="16">
        <f t="shared" si="7"/>
        <v>2</v>
      </c>
      <c r="M39" s="17">
        <v>46051</v>
      </c>
      <c r="N39" s="17">
        <v>46051</v>
      </c>
      <c r="O39" s="18" t="s">
        <v>25</v>
      </c>
      <c r="P39" s="12">
        <v>5</v>
      </c>
      <c r="Q39" s="19"/>
      <c r="R39" s="19"/>
    </row>
    <row r="40" spans="1:18" hidden="1" x14ac:dyDescent="0.25">
      <c r="A40" s="5"/>
      <c r="B40" s="6"/>
      <c r="C40" s="7"/>
      <c r="D40" s="7"/>
      <c r="E40" s="8"/>
      <c r="F40" s="7"/>
      <c r="G40" s="8" t="s">
        <v>59</v>
      </c>
      <c r="H40" s="7"/>
      <c r="I40" s="8"/>
      <c r="J40" s="9"/>
      <c r="K40" s="9"/>
      <c r="L40" s="9"/>
      <c r="M40" s="10"/>
      <c r="N40" s="10"/>
      <c r="O40" s="11"/>
      <c r="P40" s="9">
        <v>6</v>
      </c>
      <c r="Q40" s="11"/>
      <c r="R40" s="11"/>
    </row>
    <row r="41" spans="1:18" hidden="1" x14ac:dyDescent="0.25">
      <c r="A41" s="12">
        <v>1</v>
      </c>
      <c r="B41" s="13"/>
      <c r="C41" s="14">
        <v>890397</v>
      </c>
      <c r="D41" s="14" t="s">
        <v>117</v>
      </c>
      <c r="E41" s="15" t="s">
        <v>118</v>
      </c>
      <c r="F41" s="12">
        <v>3</v>
      </c>
      <c r="G41" s="15" t="s">
        <v>183</v>
      </c>
      <c r="H41" s="14" t="s">
        <v>195</v>
      </c>
      <c r="I41" s="15" t="s">
        <v>196</v>
      </c>
      <c r="J41" s="14">
        <v>1</v>
      </c>
      <c r="K41" s="14">
        <v>20</v>
      </c>
      <c r="L41" s="16">
        <f t="shared" ref="L41:L44" si="8">IF(J41&lt;&gt;"",J41*K41,"")</f>
        <v>20</v>
      </c>
      <c r="M41" s="17">
        <v>46057</v>
      </c>
      <c r="N41" s="17">
        <v>46058</v>
      </c>
      <c r="O41" s="18" t="s">
        <v>140</v>
      </c>
      <c r="P41" s="12">
        <v>6</v>
      </c>
      <c r="Q41" s="19"/>
      <c r="R41" s="19"/>
    </row>
    <row r="42" spans="1:18" hidden="1" x14ac:dyDescent="0.25">
      <c r="A42" s="12">
        <v>2</v>
      </c>
      <c r="B42" s="13"/>
      <c r="C42" s="14">
        <v>890401</v>
      </c>
      <c r="D42" s="14" t="s">
        <v>117</v>
      </c>
      <c r="E42" s="15" t="s">
        <v>118</v>
      </c>
      <c r="F42" s="12">
        <v>3</v>
      </c>
      <c r="G42" s="15" t="s">
        <v>183</v>
      </c>
      <c r="H42" s="14" t="s">
        <v>197</v>
      </c>
      <c r="I42" s="15" t="s">
        <v>198</v>
      </c>
      <c r="J42" s="12">
        <v>2</v>
      </c>
      <c r="K42" s="12">
        <v>13</v>
      </c>
      <c r="L42" s="16">
        <f t="shared" si="8"/>
        <v>26</v>
      </c>
      <c r="M42" s="17">
        <v>46060</v>
      </c>
      <c r="N42" s="17">
        <v>46061</v>
      </c>
      <c r="O42" s="18" t="s">
        <v>206</v>
      </c>
      <c r="P42" s="12">
        <v>6</v>
      </c>
      <c r="Q42" s="19"/>
      <c r="R42" s="19"/>
    </row>
    <row r="43" spans="1:18" hidden="1" x14ac:dyDescent="0.25">
      <c r="A43" s="12">
        <v>3</v>
      </c>
      <c r="B43" s="13"/>
      <c r="C43" s="14">
        <v>890406</v>
      </c>
      <c r="D43" s="14" t="s">
        <v>117</v>
      </c>
      <c r="E43" s="15" t="s">
        <v>118</v>
      </c>
      <c r="F43" s="12">
        <v>3</v>
      </c>
      <c r="G43" s="15" t="s">
        <v>199</v>
      </c>
      <c r="H43" s="14" t="s">
        <v>152</v>
      </c>
      <c r="I43" s="15" t="s">
        <v>153</v>
      </c>
      <c r="J43" s="14">
        <v>1</v>
      </c>
      <c r="K43" s="14">
        <v>15</v>
      </c>
      <c r="L43" s="16">
        <f t="shared" si="8"/>
        <v>15</v>
      </c>
      <c r="M43" s="17">
        <v>46055</v>
      </c>
      <c r="N43" s="17">
        <v>46056</v>
      </c>
      <c r="O43" s="18" t="s">
        <v>194</v>
      </c>
      <c r="P43" s="12">
        <v>6</v>
      </c>
      <c r="Q43" s="19"/>
      <c r="R43" s="19"/>
    </row>
    <row r="44" spans="1:18" hidden="1" x14ac:dyDescent="0.25">
      <c r="A44" s="12">
        <v>4</v>
      </c>
      <c r="B44" s="13"/>
      <c r="C44" s="14">
        <v>890371</v>
      </c>
      <c r="D44" s="14" t="s">
        <v>117</v>
      </c>
      <c r="E44" s="15" t="s">
        <v>118</v>
      </c>
      <c r="F44" s="12">
        <v>3</v>
      </c>
      <c r="G44" s="15" t="s">
        <v>144</v>
      </c>
      <c r="H44" s="14" t="s">
        <v>200</v>
      </c>
      <c r="I44" s="15" t="s">
        <v>201</v>
      </c>
      <c r="J44" s="14">
        <v>1</v>
      </c>
      <c r="K44" s="14">
        <v>12</v>
      </c>
      <c r="L44" s="16">
        <f t="shared" si="8"/>
        <v>12</v>
      </c>
      <c r="M44" s="17">
        <v>46060</v>
      </c>
      <c r="N44" s="17">
        <v>46060</v>
      </c>
      <c r="O44" s="18" t="s">
        <v>205</v>
      </c>
      <c r="P44" s="12">
        <v>6</v>
      </c>
      <c r="Q44" s="19"/>
      <c r="R44" s="19"/>
    </row>
    <row r="45" spans="1:18" hidden="1" x14ac:dyDescent="0.25">
      <c r="A45" s="12">
        <v>5</v>
      </c>
      <c r="B45" s="13"/>
      <c r="C45" s="14">
        <v>893329</v>
      </c>
      <c r="D45" s="14" t="s">
        <v>119</v>
      </c>
      <c r="E45" s="15" t="s">
        <v>120</v>
      </c>
      <c r="F45" s="12">
        <v>3</v>
      </c>
      <c r="G45" s="15" t="s">
        <v>143</v>
      </c>
      <c r="H45" s="14" t="s">
        <v>202</v>
      </c>
      <c r="I45" s="15" t="s">
        <v>203</v>
      </c>
      <c r="J45" s="14">
        <v>1</v>
      </c>
      <c r="K45" s="14">
        <v>10</v>
      </c>
      <c r="L45" s="16">
        <f>IF(J45&lt;&gt;"",J45*K45,"")</f>
        <v>10</v>
      </c>
      <c r="M45" s="17">
        <v>46055</v>
      </c>
      <c r="N45" s="17">
        <v>46060</v>
      </c>
      <c r="O45" s="18" t="s">
        <v>142</v>
      </c>
      <c r="P45" s="12">
        <v>6</v>
      </c>
      <c r="Q45" s="19"/>
      <c r="R45" s="19"/>
    </row>
    <row r="46" spans="1:18" hidden="1" x14ac:dyDescent="0.25">
      <c r="A46" s="5"/>
      <c r="B46" s="6"/>
      <c r="C46" s="7"/>
      <c r="D46" s="7"/>
      <c r="E46" s="8"/>
      <c r="F46" s="7"/>
      <c r="G46" s="8" t="s">
        <v>60</v>
      </c>
      <c r="H46" s="7"/>
      <c r="I46" s="8"/>
      <c r="J46" s="9"/>
      <c r="K46" s="9"/>
      <c r="L46" s="9"/>
      <c r="M46" s="10"/>
      <c r="N46" s="10"/>
      <c r="O46" s="11"/>
      <c r="P46" s="9">
        <v>7</v>
      </c>
      <c r="Q46" s="11"/>
      <c r="R46" s="11"/>
    </row>
    <row r="47" spans="1:18" hidden="1" x14ac:dyDescent="0.25">
      <c r="A47" s="12"/>
      <c r="B47" s="13"/>
      <c r="C47" s="121">
        <v>890399</v>
      </c>
      <c r="D47" s="121" t="s">
        <v>91</v>
      </c>
      <c r="E47" s="122" t="s">
        <v>92</v>
      </c>
      <c r="F47" s="123" t="s">
        <v>93</v>
      </c>
      <c r="G47" s="122" t="s">
        <v>183</v>
      </c>
      <c r="H47" s="121" t="s">
        <v>211</v>
      </c>
      <c r="I47" s="122" t="s">
        <v>212</v>
      </c>
      <c r="J47" s="121">
        <v>2</v>
      </c>
      <c r="K47" s="121">
        <v>10</v>
      </c>
      <c r="L47" s="124">
        <f>J47*K47</f>
        <v>20</v>
      </c>
      <c r="M47" s="125">
        <v>46062</v>
      </c>
      <c r="N47" s="125">
        <v>46062</v>
      </c>
      <c r="O47" s="126" t="s">
        <v>18</v>
      </c>
      <c r="P47" s="123">
        <v>7</v>
      </c>
      <c r="Q47" s="127"/>
      <c r="R47" s="127"/>
    </row>
    <row r="48" spans="1:18" hidden="1" x14ac:dyDescent="0.25">
      <c r="A48" s="12"/>
      <c r="B48" s="13"/>
      <c r="C48" s="121">
        <v>890400</v>
      </c>
      <c r="D48" s="121" t="s">
        <v>91</v>
      </c>
      <c r="E48" s="122" t="s">
        <v>92</v>
      </c>
      <c r="F48" s="123" t="s">
        <v>93</v>
      </c>
      <c r="G48" s="122" t="s">
        <v>183</v>
      </c>
      <c r="H48" s="121" t="s">
        <v>186</v>
      </c>
      <c r="I48" s="122" t="s">
        <v>187</v>
      </c>
      <c r="J48" s="121">
        <v>2</v>
      </c>
      <c r="K48" s="121">
        <v>30</v>
      </c>
      <c r="L48" s="124">
        <f t="shared" ref="L48:L50" si="9">J48*K48</f>
        <v>60</v>
      </c>
      <c r="M48" s="125">
        <v>46063</v>
      </c>
      <c r="N48" s="125">
        <v>46065</v>
      </c>
      <c r="O48" s="126" t="s">
        <v>213</v>
      </c>
      <c r="P48" s="123">
        <v>7</v>
      </c>
      <c r="Q48" s="127"/>
      <c r="R48" s="127"/>
    </row>
    <row r="49" spans="1:18" hidden="1" x14ac:dyDescent="0.25">
      <c r="A49" s="12"/>
      <c r="B49" s="13"/>
      <c r="C49" s="121">
        <v>890248</v>
      </c>
      <c r="D49" s="121" t="s">
        <v>91</v>
      </c>
      <c r="E49" s="122" t="s">
        <v>92</v>
      </c>
      <c r="F49" s="123" t="s">
        <v>93</v>
      </c>
      <c r="G49" s="122" t="s">
        <v>144</v>
      </c>
      <c r="H49" s="121" t="s">
        <v>207</v>
      </c>
      <c r="I49" s="122" t="s">
        <v>208</v>
      </c>
      <c r="J49" s="121">
        <v>1</v>
      </c>
      <c r="K49" s="121">
        <v>10</v>
      </c>
      <c r="L49" s="124">
        <f t="shared" si="9"/>
        <v>10</v>
      </c>
      <c r="M49" s="125">
        <v>46066</v>
      </c>
      <c r="N49" s="125">
        <v>46066</v>
      </c>
      <c r="O49" s="126" t="s">
        <v>51</v>
      </c>
      <c r="P49" s="123">
        <v>7</v>
      </c>
      <c r="Q49" s="127"/>
      <c r="R49" s="127"/>
    </row>
    <row r="50" spans="1:18" hidden="1" x14ac:dyDescent="0.25">
      <c r="A50" s="12"/>
      <c r="B50" s="13"/>
      <c r="C50" s="121">
        <v>890254</v>
      </c>
      <c r="D50" s="121" t="s">
        <v>91</v>
      </c>
      <c r="E50" s="122" t="s">
        <v>92</v>
      </c>
      <c r="F50" s="123" t="s">
        <v>93</v>
      </c>
      <c r="G50" s="122" t="s">
        <v>144</v>
      </c>
      <c r="H50" s="121" t="s">
        <v>209</v>
      </c>
      <c r="I50" s="122" t="s">
        <v>210</v>
      </c>
      <c r="J50" s="121">
        <v>1</v>
      </c>
      <c r="K50" s="121">
        <v>20</v>
      </c>
      <c r="L50" s="124">
        <f t="shared" si="9"/>
        <v>20</v>
      </c>
      <c r="M50" s="125">
        <v>46067</v>
      </c>
      <c r="N50" s="125">
        <v>46068</v>
      </c>
      <c r="O50" s="126" t="s">
        <v>53</v>
      </c>
      <c r="P50" s="123">
        <v>7</v>
      </c>
      <c r="Q50" s="127"/>
      <c r="R50" s="127"/>
    </row>
    <row r="51" spans="1:18" hidden="1" x14ac:dyDescent="0.25">
      <c r="A51" s="5"/>
      <c r="B51" s="6"/>
      <c r="C51" s="7"/>
      <c r="D51" s="7"/>
      <c r="E51" s="8"/>
      <c r="F51" s="7"/>
      <c r="G51" s="8" t="s">
        <v>61</v>
      </c>
      <c r="H51" s="7"/>
      <c r="I51" s="8"/>
      <c r="J51" s="9"/>
      <c r="K51" s="9"/>
      <c r="L51" s="9"/>
      <c r="M51" s="10"/>
      <c r="N51" s="10"/>
      <c r="O51" s="11"/>
      <c r="P51" s="9">
        <v>8</v>
      </c>
      <c r="Q51" s="11"/>
      <c r="R51" s="11"/>
    </row>
    <row r="52" spans="1:18" hidden="1" x14ac:dyDescent="0.25">
      <c r="A52" s="12">
        <v>1</v>
      </c>
      <c r="B52" s="13"/>
      <c r="C52" s="14">
        <v>890255</v>
      </c>
      <c r="D52" s="14" t="s">
        <v>117</v>
      </c>
      <c r="E52" s="15" t="s">
        <v>118</v>
      </c>
      <c r="F52" s="12">
        <v>3</v>
      </c>
      <c r="G52" s="15" t="s">
        <v>144</v>
      </c>
      <c r="H52" s="14" t="s">
        <v>214</v>
      </c>
      <c r="I52" s="15" t="s">
        <v>215</v>
      </c>
      <c r="J52" s="14">
        <v>1</v>
      </c>
      <c r="K52" s="14">
        <v>16</v>
      </c>
      <c r="L52" s="16">
        <f t="shared" ref="L52:L56" si="10">IF(J52&lt;&gt;"",J52*K52,"")</f>
        <v>16</v>
      </c>
      <c r="M52" s="17">
        <v>46069</v>
      </c>
      <c r="N52" s="17">
        <v>46071</v>
      </c>
      <c r="O52" s="18" t="s">
        <v>229</v>
      </c>
      <c r="P52" s="12">
        <v>8</v>
      </c>
      <c r="Q52" s="19"/>
      <c r="R52" s="19"/>
    </row>
    <row r="53" spans="1:18" hidden="1" x14ac:dyDescent="0.25">
      <c r="A53" s="12">
        <v>2</v>
      </c>
      <c r="B53" s="13"/>
      <c r="C53" s="14">
        <v>893302</v>
      </c>
      <c r="D53" s="14" t="s">
        <v>119</v>
      </c>
      <c r="E53" s="15" t="s">
        <v>120</v>
      </c>
      <c r="F53" s="12">
        <v>3</v>
      </c>
      <c r="G53" s="15" t="s">
        <v>143</v>
      </c>
      <c r="H53" s="14" t="s">
        <v>216</v>
      </c>
      <c r="I53" s="15" t="s">
        <v>217</v>
      </c>
      <c r="J53" s="14">
        <v>1</v>
      </c>
      <c r="K53" s="14">
        <v>10</v>
      </c>
      <c r="L53" s="16">
        <f t="shared" si="10"/>
        <v>10</v>
      </c>
      <c r="M53" s="17">
        <v>46069</v>
      </c>
      <c r="N53" s="17">
        <v>46072</v>
      </c>
      <c r="O53" s="18" t="s">
        <v>230</v>
      </c>
      <c r="P53" s="12">
        <v>8</v>
      </c>
      <c r="Q53" s="19"/>
      <c r="R53" s="19"/>
    </row>
    <row r="54" spans="1:18" hidden="1" x14ac:dyDescent="0.25">
      <c r="A54" s="12">
        <v>3</v>
      </c>
      <c r="B54" s="13"/>
      <c r="C54" s="14">
        <v>920108</v>
      </c>
      <c r="D54" s="14" t="s">
        <v>127</v>
      </c>
      <c r="E54" s="15" t="s">
        <v>128</v>
      </c>
      <c r="F54" s="12">
        <v>3</v>
      </c>
      <c r="G54" s="15" t="s">
        <v>104</v>
      </c>
      <c r="H54" s="14" t="s">
        <v>129</v>
      </c>
      <c r="I54" s="15" t="s">
        <v>130</v>
      </c>
      <c r="J54" s="12">
        <v>1</v>
      </c>
      <c r="K54" s="12">
        <v>5</v>
      </c>
      <c r="L54" s="16">
        <v>4</v>
      </c>
      <c r="M54" s="17">
        <v>46070</v>
      </c>
      <c r="N54" s="17">
        <v>46070</v>
      </c>
      <c r="O54" s="18" t="s">
        <v>20</v>
      </c>
      <c r="P54" s="12">
        <v>8</v>
      </c>
      <c r="Q54" s="19"/>
      <c r="R54" s="19"/>
    </row>
    <row r="55" spans="1:18" hidden="1" x14ac:dyDescent="0.25">
      <c r="A55" s="12">
        <v>4</v>
      </c>
      <c r="B55" s="13"/>
      <c r="C55" s="14">
        <v>919447</v>
      </c>
      <c r="D55" s="14" t="s">
        <v>127</v>
      </c>
      <c r="E55" s="15" t="s">
        <v>128</v>
      </c>
      <c r="F55" s="12">
        <v>3</v>
      </c>
      <c r="G55" s="15" t="s">
        <v>104</v>
      </c>
      <c r="H55" s="14" t="s">
        <v>218</v>
      </c>
      <c r="I55" s="15" t="s">
        <v>219</v>
      </c>
      <c r="J55" s="14">
        <v>1</v>
      </c>
      <c r="K55" s="14">
        <v>4</v>
      </c>
      <c r="L55" s="16">
        <f t="shared" si="10"/>
        <v>4</v>
      </c>
      <c r="M55" s="17">
        <v>46072</v>
      </c>
      <c r="N55" s="17">
        <v>46072</v>
      </c>
      <c r="O55" s="18" t="s">
        <v>25</v>
      </c>
      <c r="P55" s="12">
        <v>8</v>
      </c>
      <c r="Q55" s="19"/>
      <c r="R55" s="19"/>
    </row>
    <row r="56" spans="1:18" hidden="1" x14ac:dyDescent="0.25">
      <c r="A56" s="12">
        <v>5</v>
      </c>
      <c r="B56" s="13"/>
      <c r="C56" s="14">
        <v>898725</v>
      </c>
      <c r="D56" s="14" t="s">
        <v>127</v>
      </c>
      <c r="E56" s="15" t="s">
        <v>128</v>
      </c>
      <c r="F56" s="12">
        <v>3</v>
      </c>
      <c r="G56" s="15" t="s">
        <v>104</v>
      </c>
      <c r="H56" s="14" t="s">
        <v>220</v>
      </c>
      <c r="I56" s="15" t="s">
        <v>221</v>
      </c>
      <c r="J56" s="14">
        <v>1</v>
      </c>
      <c r="K56" s="14">
        <v>4</v>
      </c>
      <c r="L56" s="16">
        <f t="shared" si="10"/>
        <v>4</v>
      </c>
      <c r="M56" s="17">
        <v>46071</v>
      </c>
      <c r="N56" s="17">
        <v>46071</v>
      </c>
      <c r="O56" s="18" t="s">
        <v>23</v>
      </c>
      <c r="P56" s="12">
        <v>8</v>
      </c>
      <c r="Q56" s="19"/>
      <c r="R56" s="19"/>
    </row>
    <row r="57" spans="1:18" hidden="1" x14ac:dyDescent="0.25">
      <c r="A57" s="12">
        <v>6</v>
      </c>
      <c r="B57" s="13"/>
      <c r="C57" s="14">
        <v>905556</v>
      </c>
      <c r="D57" s="14" t="s">
        <v>127</v>
      </c>
      <c r="E57" s="15" t="s">
        <v>128</v>
      </c>
      <c r="F57" s="12">
        <v>3</v>
      </c>
      <c r="G57" s="15" t="s">
        <v>222</v>
      </c>
      <c r="H57" s="14" t="s">
        <v>223</v>
      </c>
      <c r="I57" s="15" t="s">
        <v>224</v>
      </c>
      <c r="J57" s="14">
        <v>1</v>
      </c>
      <c r="K57" s="14">
        <v>1</v>
      </c>
      <c r="L57" s="16">
        <f>IF(J57&lt;&gt;"",J57*K57,"")</f>
        <v>1</v>
      </c>
      <c r="M57" s="17">
        <v>46071</v>
      </c>
      <c r="N57" s="17">
        <v>46071</v>
      </c>
      <c r="O57" s="18" t="s">
        <v>23</v>
      </c>
      <c r="P57" s="12">
        <v>8</v>
      </c>
      <c r="Q57" s="19"/>
      <c r="R57" s="19"/>
    </row>
    <row r="58" spans="1:18" hidden="1" x14ac:dyDescent="0.25">
      <c r="A58" s="12">
        <v>7</v>
      </c>
      <c r="B58" s="13"/>
      <c r="C58" s="14">
        <v>915085</v>
      </c>
      <c r="D58" s="14" t="s">
        <v>127</v>
      </c>
      <c r="E58" s="15" t="s">
        <v>128</v>
      </c>
      <c r="F58" s="12">
        <v>3</v>
      </c>
      <c r="G58" s="15" t="s">
        <v>225</v>
      </c>
      <c r="H58" s="14" t="s">
        <v>226</v>
      </c>
      <c r="I58" s="15" t="s">
        <v>227</v>
      </c>
      <c r="J58" s="14">
        <v>1</v>
      </c>
      <c r="K58" s="14">
        <v>1</v>
      </c>
      <c r="L58" s="16">
        <f t="shared" ref="L58" si="11">IF(J58&lt;&gt;"",J58*K58,"")</f>
        <v>1</v>
      </c>
      <c r="M58" s="17">
        <v>46072</v>
      </c>
      <c r="N58" s="17">
        <v>46072</v>
      </c>
      <c r="O58" s="18" t="s">
        <v>25</v>
      </c>
      <c r="P58" s="12">
        <v>8</v>
      </c>
      <c r="Q58" s="19"/>
      <c r="R58" s="19"/>
    </row>
    <row r="59" spans="1:18" hidden="1" x14ac:dyDescent="0.25">
      <c r="A59" s="5"/>
      <c r="B59" s="6"/>
      <c r="C59" s="7"/>
      <c r="D59" s="7"/>
      <c r="E59" s="8"/>
      <c r="F59" s="7"/>
      <c r="G59" s="8" t="s">
        <v>62</v>
      </c>
      <c r="H59" s="7"/>
      <c r="I59" s="8"/>
      <c r="J59" s="9"/>
      <c r="K59" s="9"/>
      <c r="L59" s="9"/>
      <c r="M59" s="10"/>
      <c r="N59" s="10"/>
      <c r="O59" s="11"/>
      <c r="P59" s="9">
        <v>9</v>
      </c>
      <c r="Q59" s="11"/>
      <c r="R59" s="11"/>
    </row>
    <row r="60" spans="1:18" hidden="1" x14ac:dyDescent="0.25">
      <c r="A60" s="12"/>
      <c r="B60" s="13"/>
      <c r="C60" s="14">
        <v>927980</v>
      </c>
      <c r="D60" s="14" t="s">
        <v>127</v>
      </c>
      <c r="E60" s="15" t="s">
        <v>128</v>
      </c>
      <c r="F60" s="12">
        <v>3</v>
      </c>
      <c r="G60" s="15" t="s">
        <v>236</v>
      </c>
      <c r="H60" s="14" t="s">
        <v>237</v>
      </c>
      <c r="I60" s="15" t="s">
        <v>238</v>
      </c>
      <c r="J60" s="14">
        <v>1</v>
      </c>
      <c r="K60" s="14">
        <v>10</v>
      </c>
      <c r="L60" s="16">
        <f>J60*K60</f>
        <v>10</v>
      </c>
      <c r="M60" s="17">
        <v>46076</v>
      </c>
      <c r="N60" s="17">
        <v>46076</v>
      </c>
      <c r="O60" s="18" t="s">
        <v>36</v>
      </c>
      <c r="P60" s="12">
        <v>9</v>
      </c>
      <c r="Q60" s="19"/>
      <c r="R60" s="19"/>
    </row>
    <row r="61" spans="1:18" hidden="1" x14ac:dyDescent="0.25">
      <c r="A61" s="12"/>
      <c r="B61" s="13"/>
      <c r="C61" s="14">
        <v>893323</v>
      </c>
      <c r="D61" s="14" t="s">
        <v>119</v>
      </c>
      <c r="E61" s="15" t="s">
        <v>120</v>
      </c>
      <c r="F61" s="12">
        <v>3</v>
      </c>
      <c r="G61" s="15" t="s">
        <v>233</v>
      </c>
      <c r="H61" s="14" t="s">
        <v>234</v>
      </c>
      <c r="I61" s="15" t="s">
        <v>235</v>
      </c>
      <c r="J61" s="14">
        <v>1</v>
      </c>
      <c r="K61" s="14">
        <v>10</v>
      </c>
      <c r="L61" s="16">
        <f t="shared" ref="L61:L63" si="12">J61*K61</f>
        <v>10</v>
      </c>
      <c r="M61" s="17">
        <v>46077</v>
      </c>
      <c r="N61" s="17">
        <v>46077</v>
      </c>
      <c r="O61" s="18" t="s">
        <v>48</v>
      </c>
      <c r="P61" s="12">
        <v>9</v>
      </c>
      <c r="Q61" s="19"/>
      <c r="R61" s="19"/>
    </row>
    <row r="62" spans="1:18" hidden="1" x14ac:dyDescent="0.25">
      <c r="A62" s="12"/>
      <c r="B62" s="13"/>
      <c r="C62" s="14">
        <v>890407</v>
      </c>
      <c r="D62" s="14" t="s">
        <v>91</v>
      </c>
      <c r="E62" s="15" t="s">
        <v>92</v>
      </c>
      <c r="F62" s="12" t="s">
        <v>93</v>
      </c>
      <c r="G62" s="15" t="s">
        <v>199</v>
      </c>
      <c r="H62" s="14" t="s">
        <v>145</v>
      </c>
      <c r="I62" s="15" t="s">
        <v>146</v>
      </c>
      <c r="J62" s="14">
        <v>1</v>
      </c>
      <c r="K62" s="14">
        <v>20</v>
      </c>
      <c r="L62" s="16">
        <f t="shared" si="12"/>
        <v>20</v>
      </c>
      <c r="M62" s="17">
        <v>46078</v>
      </c>
      <c r="N62" s="17">
        <v>46079</v>
      </c>
      <c r="O62" s="18" t="s">
        <v>179</v>
      </c>
      <c r="P62" s="12">
        <v>9</v>
      </c>
      <c r="Q62" s="19"/>
      <c r="R62" s="19"/>
    </row>
    <row r="63" spans="1:18" hidden="1" x14ac:dyDescent="0.25">
      <c r="A63" s="12"/>
      <c r="B63" s="13"/>
      <c r="C63" s="14">
        <v>890402</v>
      </c>
      <c r="D63" s="14" t="s">
        <v>91</v>
      </c>
      <c r="E63" s="15" t="s">
        <v>92</v>
      </c>
      <c r="F63" s="12" t="s">
        <v>93</v>
      </c>
      <c r="G63" s="15" t="s">
        <v>183</v>
      </c>
      <c r="H63" s="14" t="s">
        <v>231</v>
      </c>
      <c r="I63" s="15" t="s">
        <v>232</v>
      </c>
      <c r="J63" s="14">
        <v>2</v>
      </c>
      <c r="K63" s="14">
        <v>30</v>
      </c>
      <c r="L63" s="16">
        <f t="shared" si="12"/>
        <v>60</v>
      </c>
      <c r="M63" s="17">
        <v>46080</v>
      </c>
      <c r="N63" s="17">
        <v>46082</v>
      </c>
      <c r="O63" s="18" t="s">
        <v>180</v>
      </c>
      <c r="P63" s="12">
        <v>9</v>
      </c>
      <c r="Q63" s="19"/>
      <c r="R63" s="19"/>
    </row>
    <row r="64" spans="1:18" hidden="1" x14ac:dyDescent="0.25">
      <c r="A64" s="5"/>
      <c r="B64" s="6"/>
      <c r="C64" s="7"/>
      <c r="D64" s="7"/>
      <c r="E64" s="8"/>
      <c r="F64" s="7"/>
      <c r="G64" s="8" t="s">
        <v>63</v>
      </c>
      <c r="H64" s="7"/>
      <c r="I64" s="8"/>
      <c r="J64" s="9"/>
      <c r="K64" s="9"/>
      <c r="L64" s="9"/>
      <c r="M64" s="10"/>
      <c r="N64" s="10"/>
      <c r="O64" s="11"/>
      <c r="P64" s="9">
        <v>10</v>
      </c>
      <c r="Q64" s="11"/>
      <c r="R64" s="11"/>
    </row>
    <row r="65" spans="1:18" hidden="1" x14ac:dyDescent="0.25">
      <c r="A65" s="12"/>
      <c r="B65" s="13"/>
      <c r="C65" s="14"/>
      <c r="D65" s="14"/>
      <c r="E65" s="15"/>
      <c r="F65" s="12"/>
      <c r="G65" s="15"/>
      <c r="H65" s="14"/>
      <c r="I65" s="15"/>
      <c r="J65" s="14"/>
      <c r="K65" s="14"/>
      <c r="L65" s="16" t="str">
        <f t="shared" ref="L65:L66" si="13">IF(J65&lt;&gt;"",J65*K65,"")</f>
        <v/>
      </c>
      <c r="M65" s="17"/>
      <c r="N65" s="17"/>
      <c r="O65" s="18"/>
      <c r="P65" s="12">
        <v>10</v>
      </c>
      <c r="Q65" s="19"/>
      <c r="R65" s="19"/>
    </row>
    <row r="66" spans="1:18" hidden="1" x14ac:dyDescent="0.25">
      <c r="A66" s="12"/>
      <c r="B66" s="13"/>
      <c r="C66" s="14"/>
      <c r="D66" s="14"/>
      <c r="E66" s="15"/>
      <c r="F66" s="12"/>
      <c r="G66" s="15"/>
      <c r="H66" s="14"/>
      <c r="I66" s="15"/>
      <c r="J66" s="14"/>
      <c r="K66" s="14"/>
      <c r="L66" s="16" t="str">
        <f t="shared" si="13"/>
        <v/>
      </c>
      <c r="M66" s="17"/>
      <c r="N66" s="17"/>
      <c r="O66" s="18"/>
      <c r="P66" s="12">
        <v>10</v>
      </c>
      <c r="Q66" s="19"/>
      <c r="R66" s="19"/>
    </row>
    <row r="67" spans="1:18" hidden="1" x14ac:dyDescent="0.25">
      <c r="A67" s="5"/>
      <c r="B67" s="6"/>
      <c r="C67" s="7"/>
      <c r="D67" s="7"/>
      <c r="E67" s="8"/>
      <c r="F67" s="7"/>
      <c r="G67" s="8" t="s">
        <v>64</v>
      </c>
      <c r="H67" s="7"/>
      <c r="I67" s="8"/>
      <c r="J67" s="9"/>
      <c r="K67" s="9"/>
      <c r="L67" s="9"/>
      <c r="M67" s="10"/>
      <c r="N67" s="10"/>
      <c r="O67" s="11"/>
      <c r="P67" s="9">
        <v>11</v>
      </c>
      <c r="Q67" s="11"/>
      <c r="R67" s="11"/>
    </row>
    <row r="68" spans="1:18" hidden="1" x14ac:dyDescent="0.25">
      <c r="A68" s="12"/>
      <c r="B68" s="13"/>
      <c r="C68" s="14"/>
      <c r="D68" s="14"/>
      <c r="E68" s="15"/>
      <c r="F68" s="12"/>
      <c r="G68" s="15"/>
      <c r="H68" s="14"/>
      <c r="I68" s="15"/>
      <c r="J68" s="14"/>
      <c r="K68" s="14"/>
      <c r="L68" s="16" t="str">
        <f t="shared" ref="L68:L69" si="14">IF(J68&lt;&gt;"",J68*K68,"")</f>
        <v/>
      </c>
      <c r="M68" s="17"/>
      <c r="N68" s="17"/>
      <c r="O68" s="18"/>
      <c r="P68" s="12">
        <v>11</v>
      </c>
      <c r="Q68" s="19"/>
      <c r="R68" s="19"/>
    </row>
    <row r="69" spans="1:18" hidden="1" x14ac:dyDescent="0.25">
      <c r="A69" s="12"/>
      <c r="B69" s="13"/>
      <c r="C69" s="14"/>
      <c r="D69" s="14"/>
      <c r="E69" s="15"/>
      <c r="F69" s="12"/>
      <c r="G69" s="15"/>
      <c r="H69" s="14"/>
      <c r="I69" s="15"/>
      <c r="J69" s="14"/>
      <c r="K69" s="14"/>
      <c r="L69" s="16" t="str">
        <f t="shared" si="14"/>
        <v/>
      </c>
      <c r="M69" s="17"/>
      <c r="N69" s="17"/>
      <c r="O69" s="18"/>
      <c r="P69" s="12">
        <v>11</v>
      </c>
      <c r="Q69" s="19"/>
      <c r="R69" s="19"/>
    </row>
    <row r="70" spans="1:18" hidden="1" x14ac:dyDescent="0.25">
      <c r="A70" s="5"/>
      <c r="B70" s="6"/>
      <c r="C70" s="7"/>
      <c r="D70" s="7"/>
      <c r="E70" s="8"/>
      <c r="F70" s="7"/>
      <c r="G70" s="8" t="s">
        <v>65</v>
      </c>
      <c r="H70" s="7"/>
      <c r="I70" s="8"/>
      <c r="J70" s="9"/>
      <c r="K70" s="9"/>
      <c r="L70" s="9"/>
      <c r="M70" s="10"/>
      <c r="N70" s="10"/>
      <c r="O70" s="11"/>
      <c r="P70" s="9">
        <v>12</v>
      </c>
      <c r="Q70" s="11"/>
      <c r="R70" s="11"/>
    </row>
    <row r="71" spans="1:18" hidden="1" x14ac:dyDescent="0.25">
      <c r="A71" s="12">
        <v>1</v>
      </c>
      <c r="B71" s="13"/>
      <c r="C71" s="14">
        <v>893328</v>
      </c>
      <c r="D71" s="14" t="s">
        <v>119</v>
      </c>
      <c r="E71" s="15" t="s">
        <v>120</v>
      </c>
      <c r="F71" s="12">
        <v>3</v>
      </c>
      <c r="G71" s="15" t="s">
        <v>143</v>
      </c>
      <c r="H71" s="14" t="s">
        <v>239</v>
      </c>
      <c r="I71" s="15" t="s">
        <v>240</v>
      </c>
      <c r="J71" s="14">
        <v>1</v>
      </c>
      <c r="K71" s="14">
        <v>10</v>
      </c>
      <c r="L71" s="16">
        <f t="shared" ref="L71:L74" si="15">IF(J71&lt;&gt;"",J71*K71,"")</f>
        <v>10</v>
      </c>
      <c r="M71" s="17">
        <v>46098</v>
      </c>
      <c r="N71" s="17">
        <v>46103</v>
      </c>
      <c r="O71" s="18" t="s">
        <v>241</v>
      </c>
      <c r="P71" s="12">
        <v>12</v>
      </c>
      <c r="Q71" s="19"/>
      <c r="R71" s="19"/>
    </row>
    <row r="72" spans="1:18" hidden="1" x14ac:dyDescent="0.25">
      <c r="A72" s="12">
        <v>2</v>
      </c>
      <c r="B72" s="13"/>
      <c r="C72" s="14">
        <v>930451</v>
      </c>
      <c r="D72" s="14" t="s">
        <v>127</v>
      </c>
      <c r="E72" s="15" t="s">
        <v>128</v>
      </c>
      <c r="F72" s="12">
        <v>2</v>
      </c>
      <c r="G72" s="15" t="s">
        <v>236</v>
      </c>
      <c r="H72" s="14" t="s">
        <v>243</v>
      </c>
      <c r="I72" s="15" t="s">
        <v>244</v>
      </c>
      <c r="J72" s="12">
        <v>1</v>
      </c>
      <c r="K72" s="12">
        <v>8</v>
      </c>
      <c r="L72" s="16">
        <f t="shared" si="15"/>
        <v>8</v>
      </c>
      <c r="M72" s="17">
        <v>46098</v>
      </c>
      <c r="N72" s="17">
        <v>46099</v>
      </c>
      <c r="O72" s="18" t="s">
        <v>242</v>
      </c>
      <c r="P72" s="12">
        <v>12</v>
      </c>
      <c r="Q72" s="19"/>
      <c r="R72" s="19"/>
    </row>
    <row r="73" spans="1:18" hidden="1" x14ac:dyDescent="0.25">
      <c r="A73" s="12">
        <v>3</v>
      </c>
      <c r="B73" s="13"/>
      <c r="C73" s="14">
        <v>930452</v>
      </c>
      <c r="D73" s="14" t="s">
        <v>127</v>
      </c>
      <c r="E73" s="15" t="s">
        <v>128</v>
      </c>
      <c r="F73" s="12">
        <v>2</v>
      </c>
      <c r="G73" s="15" t="s">
        <v>236</v>
      </c>
      <c r="H73" s="14" t="s">
        <v>245</v>
      </c>
      <c r="I73" s="15" t="s">
        <v>244</v>
      </c>
      <c r="J73" s="14">
        <v>1</v>
      </c>
      <c r="K73" s="14">
        <v>8</v>
      </c>
      <c r="L73" s="16">
        <f t="shared" si="15"/>
        <v>8</v>
      </c>
      <c r="M73" s="17">
        <v>46098</v>
      </c>
      <c r="N73" s="17">
        <v>46099</v>
      </c>
      <c r="O73" s="18" t="s">
        <v>242</v>
      </c>
      <c r="P73" s="12">
        <v>12</v>
      </c>
      <c r="Q73" s="19"/>
      <c r="R73" s="19"/>
    </row>
    <row r="74" spans="1:18" hidden="1" x14ac:dyDescent="0.25">
      <c r="A74" s="12">
        <v>4</v>
      </c>
      <c r="B74" s="13"/>
      <c r="C74" s="14">
        <v>930637</v>
      </c>
      <c r="D74" s="14" t="s">
        <v>127</v>
      </c>
      <c r="E74" s="15" t="s">
        <v>128</v>
      </c>
      <c r="F74" s="12">
        <v>3</v>
      </c>
      <c r="G74" s="15" t="s">
        <v>247</v>
      </c>
      <c r="H74" s="14" t="s">
        <v>134</v>
      </c>
      <c r="I74" s="15" t="s">
        <v>135</v>
      </c>
      <c r="J74" s="14">
        <v>1</v>
      </c>
      <c r="K74" s="14">
        <v>25</v>
      </c>
      <c r="L74" s="16">
        <f t="shared" si="15"/>
        <v>25</v>
      </c>
      <c r="M74" s="17">
        <v>46101</v>
      </c>
      <c r="N74" s="17">
        <v>46103</v>
      </c>
      <c r="O74" s="18" t="s">
        <v>141</v>
      </c>
      <c r="P74" s="12">
        <v>12</v>
      </c>
      <c r="Q74" s="19"/>
      <c r="R74" s="19"/>
    </row>
    <row r="75" spans="1:18" hidden="1" x14ac:dyDescent="0.25">
      <c r="A75" s="12">
        <v>5</v>
      </c>
      <c r="B75" s="13"/>
      <c r="C75" s="14">
        <v>930638</v>
      </c>
      <c r="D75" s="14" t="s">
        <v>127</v>
      </c>
      <c r="E75" s="15" t="s">
        <v>128</v>
      </c>
      <c r="F75" s="12">
        <v>3</v>
      </c>
      <c r="G75" s="15" t="s">
        <v>246</v>
      </c>
      <c r="H75" s="14" t="s">
        <v>134</v>
      </c>
      <c r="I75" s="15" t="s">
        <v>135</v>
      </c>
      <c r="J75" s="14">
        <v>1</v>
      </c>
      <c r="K75" s="14">
        <v>25</v>
      </c>
      <c r="L75" s="16">
        <f>IF(J75&lt;&gt;"",J75*K75,"")</f>
        <v>25</v>
      </c>
      <c r="M75" s="17">
        <v>46101</v>
      </c>
      <c r="N75" s="17">
        <v>46103</v>
      </c>
      <c r="O75" s="18" t="s">
        <v>141</v>
      </c>
      <c r="P75" s="12">
        <v>12</v>
      </c>
      <c r="Q75" s="19"/>
      <c r="R75" s="19"/>
    </row>
    <row r="76" spans="1:18" hidden="1" x14ac:dyDescent="0.25">
      <c r="A76" s="5"/>
      <c r="B76" s="6"/>
      <c r="C76" s="7"/>
      <c r="D76" s="7"/>
      <c r="E76" s="8"/>
      <c r="F76" s="7"/>
      <c r="G76" s="8" t="s">
        <v>66</v>
      </c>
      <c r="H76" s="7"/>
      <c r="I76" s="8"/>
      <c r="J76" s="9"/>
      <c r="K76" s="9"/>
      <c r="L76" s="9"/>
      <c r="M76" s="10"/>
      <c r="N76" s="10"/>
      <c r="O76" s="11"/>
      <c r="P76" s="9">
        <v>13</v>
      </c>
      <c r="Q76" s="11"/>
      <c r="R76" s="11"/>
    </row>
    <row r="77" spans="1:18" hidden="1" x14ac:dyDescent="0.25">
      <c r="A77" s="12"/>
      <c r="B77" s="13"/>
      <c r="C77" s="121">
        <v>890403</v>
      </c>
      <c r="D77" s="121" t="s">
        <v>91</v>
      </c>
      <c r="E77" s="122" t="s">
        <v>92</v>
      </c>
      <c r="F77" s="123" t="s">
        <v>93</v>
      </c>
      <c r="G77" s="122" t="s">
        <v>183</v>
      </c>
      <c r="H77" s="121" t="s">
        <v>249</v>
      </c>
      <c r="I77" s="122" t="s">
        <v>196</v>
      </c>
      <c r="J77" s="121">
        <v>2</v>
      </c>
      <c r="K77" s="121">
        <v>10</v>
      </c>
      <c r="L77" s="124">
        <v>20</v>
      </c>
      <c r="M77" s="125">
        <v>46104</v>
      </c>
      <c r="N77" s="125">
        <v>46104</v>
      </c>
      <c r="O77" s="18" t="s">
        <v>36</v>
      </c>
      <c r="P77" s="12">
        <v>13</v>
      </c>
      <c r="Q77" s="19"/>
      <c r="R77" s="19"/>
    </row>
    <row r="78" spans="1:18" hidden="1" x14ac:dyDescent="0.25">
      <c r="A78" s="12"/>
      <c r="B78" s="13"/>
      <c r="C78" s="121">
        <v>893321</v>
      </c>
      <c r="D78" s="121" t="s">
        <v>159</v>
      </c>
      <c r="E78" s="122" t="s">
        <v>160</v>
      </c>
      <c r="F78" s="123" t="s">
        <v>93</v>
      </c>
      <c r="G78" s="122" t="s">
        <v>143</v>
      </c>
      <c r="H78" s="121" t="s">
        <v>255</v>
      </c>
      <c r="I78" s="122" t="s">
        <v>256</v>
      </c>
      <c r="J78" s="121">
        <v>2</v>
      </c>
      <c r="K78" s="121">
        <v>10</v>
      </c>
      <c r="L78" s="124">
        <v>20</v>
      </c>
      <c r="M78" s="125">
        <v>46105</v>
      </c>
      <c r="N78" s="125">
        <v>46105</v>
      </c>
      <c r="O78" s="18" t="s">
        <v>48</v>
      </c>
      <c r="P78" s="12">
        <v>13</v>
      </c>
      <c r="Q78" s="19"/>
      <c r="R78" s="19"/>
    </row>
    <row r="79" spans="1:18" hidden="1" x14ac:dyDescent="0.25">
      <c r="A79" s="12"/>
      <c r="B79" s="13"/>
      <c r="C79" s="121">
        <v>890404</v>
      </c>
      <c r="D79" s="121" t="s">
        <v>91</v>
      </c>
      <c r="E79" s="122" t="s">
        <v>92</v>
      </c>
      <c r="F79" s="123" t="s">
        <v>93</v>
      </c>
      <c r="G79" s="122" t="s">
        <v>199</v>
      </c>
      <c r="H79" s="121" t="s">
        <v>250</v>
      </c>
      <c r="I79" s="122" t="s">
        <v>251</v>
      </c>
      <c r="J79" s="121">
        <v>2</v>
      </c>
      <c r="K79" s="121">
        <v>10</v>
      </c>
      <c r="L79" s="124">
        <v>20</v>
      </c>
      <c r="M79" s="125">
        <v>46106</v>
      </c>
      <c r="N79" s="125">
        <v>46106</v>
      </c>
      <c r="O79" s="18" t="s">
        <v>49</v>
      </c>
      <c r="P79" s="12">
        <v>13</v>
      </c>
      <c r="Q79" s="19"/>
      <c r="R79" s="19"/>
    </row>
    <row r="80" spans="1:18" hidden="1" x14ac:dyDescent="0.25">
      <c r="A80" s="12"/>
      <c r="B80" s="13"/>
      <c r="C80" s="121">
        <v>890405</v>
      </c>
      <c r="D80" s="121" t="s">
        <v>91</v>
      </c>
      <c r="E80" s="122" t="s">
        <v>92</v>
      </c>
      <c r="F80" s="123" t="s">
        <v>93</v>
      </c>
      <c r="G80" s="122" t="s">
        <v>199</v>
      </c>
      <c r="H80" s="121" t="s">
        <v>166</v>
      </c>
      <c r="I80" s="122" t="s">
        <v>167</v>
      </c>
      <c r="J80" s="121">
        <v>2</v>
      </c>
      <c r="K80" s="121">
        <v>10</v>
      </c>
      <c r="L80" s="124">
        <v>20</v>
      </c>
      <c r="M80" s="125">
        <v>46107</v>
      </c>
      <c r="N80" s="125">
        <v>46107</v>
      </c>
      <c r="O80" s="18" t="s">
        <v>50</v>
      </c>
      <c r="P80" s="12">
        <v>13</v>
      </c>
      <c r="Q80" s="19"/>
      <c r="R80" s="19"/>
    </row>
    <row r="81" spans="1:18" hidden="1" x14ac:dyDescent="0.25">
      <c r="A81" s="12"/>
      <c r="B81" s="13"/>
      <c r="C81" s="121">
        <v>890414</v>
      </c>
      <c r="D81" s="121" t="s">
        <v>91</v>
      </c>
      <c r="E81" s="122" t="s">
        <v>92</v>
      </c>
      <c r="F81" s="123" t="s">
        <v>93</v>
      </c>
      <c r="G81" s="122" t="s">
        <v>252</v>
      </c>
      <c r="H81" s="121" t="s">
        <v>253</v>
      </c>
      <c r="I81" s="122" t="s">
        <v>254</v>
      </c>
      <c r="J81" s="121">
        <v>1</v>
      </c>
      <c r="K81" s="121">
        <v>30</v>
      </c>
      <c r="L81" s="124">
        <v>30</v>
      </c>
      <c r="M81" s="125">
        <v>46108</v>
      </c>
      <c r="N81" s="125">
        <v>46110</v>
      </c>
      <c r="O81" s="18" t="s">
        <v>141</v>
      </c>
      <c r="P81" s="12">
        <v>13</v>
      </c>
      <c r="Q81" s="19"/>
      <c r="R81" s="19"/>
    </row>
    <row r="82" spans="1:18" hidden="1" x14ac:dyDescent="0.25">
      <c r="A82" s="12"/>
      <c r="B82" s="13"/>
      <c r="C82" s="121">
        <v>930637</v>
      </c>
      <c r="D82" s="121" t="s">
        <v>100</v>
      </c>
      <c r="E82" s="122" t="s">
        <v>101</v>
      </c>
      <c r="F82" s="123" t="s">
        <v>103</v>
      </c>
      <c r="G82" s="122" t="s">
        <v>247</v>
      </c>
      <c r="H82" s="121" t="s">
        <v>134</v>
      </c>
      <c r="I82" s="122" t="s">
        <v>135</v>
      </c>
      <c r="J82" s="121">
        <v>2</v>
      </c>
      <c r="K82" s="121">
        <v>20</v>
      </c>
      <c r="L82" s="124">
        <f t="shared" ref="L82" si="16">IF(J82&lt;&gt;"",J82*K82,"")</f>
        <v>40</v>
      </c>
      <c r="M82" s="125">
        <v>46104</v>
      </c>
      <c r="N82" s="125">
        <v>46105</v>
      </c>
      <c r="O82" s="18" t="s">
        <v>257</v>
      </c>
      <c r="P82" s="12">
        <v>13</v>
      </c>
      <c r="Q82" s="19"/>
      <c r="R82" s="19"/>
    </row>
    <row r="83" spans="1:18" hidden="1" x14ac:dyDescent="0.25">
      <c r="A83" s="5"/>
      <c r="B83" s="6"/>
      <c r="C83" s="7"/>
      <c r="D83" s="7"/>
      <c r="E83" s="8"/>
      <c r="F83" s="7"/>
      <c r="G83" s="8" t="s">
        <v>67</v>
      </c>
      <c r="H83" s="7"/>
      <c r="I83" s="8"/>
      <c r="J83" s="9"/>
      <c r="K83" s="9"/>
      <c r="L83" s="9"/>
      <c r="M83" s="10"/>
      <c r="N83" s="10"/>
      <c r="O83" s="11"/>
      <c r="P83" s="9">
        <v>14</v>
      </c>
      <c r="Q83" s="11"/>
      <c r="R83" s="11"/>
    </row>
    <row r="84" spans="1:18" hidden="1" x14ac:dyDescent="0.25">
      <c r="A84" s="12">
        <v>1</v>
      </c>
      <c r="B84" s="13"/>
      <c r="C84" s="14">
        <v>890420</v>
      </c>
      <c r="D84" s="14" t="s">
        <v>117</v>
      </c>
      <c r="E84" s="15" t="s">
        <v>118</v>
      </c>
      <c r="F84" s="12">
        <v>3</v>
      </c>
      <c r="G84" s="15" t="s">
        <v>252</v>
      </c>
      <c r="H84" s="14" t="s">
        <v>260</v>
      </c>
      <c r="I84" s="15" t="s">
        <v>261</v>
      </c>
      <c r="J84" s="14">
        <v>1</v>
      </c>
      <c r="K84" s="14">
        <v>10</v>
      </c>
      <c r="L84" s="16">
        <f>IF(J84&lt;&gt;"",J84*K84,"")</f>
        <v>10</v>
      </c>
      <c r="M84" s="17">
        <v>46111</v>
      </c>
      <c r="N84" s="17">
        <v>46111</v>
      </c>
      <c r="O84" s="18" t="s">
        <v>18</v>
      </c>
      <c r="P84" s="12">
        <v>14</v>
      </c>
      <c r="Q84" s="19"/>
      <c r="R84" s="19"/>
    </row>
    <row r="85" spans="1:18" hidden="1" x14ac:dyDescent="0.25">
      <c r="A85" s="12">
        <v>2</v>
      </c>
      <c r="B85" s="13"/>
      <c r="C85" s="14">
        <v>890415</v>
      </c>
      <c r="D85" s="14" t="s">
        <v>117</v>
      </c>
      <c r="E85" s="15" t="s">
        <v>118</v>
      </c>
      <c r="F85" s="12">
        <v>3</v>
      </c>
      <c r="G85" s="15" t="s">
        <v>252</v>
      </c>
      <c r="H85" s="14" t="s">
        <v>258</v>
      </c>
      <c r="I85" s="15" t="s">
        <v>259</v>
      </c>
      <c r="J85" s="14">
        <v>1</v>
      </c>
      <c r="K85" s="14">
        <v>16</v>
      </c>
      <c r="L85" s="16">
        <f t="shared" ref="L85:L87" si="17">IF(J85&lt;&gt;"",J85*K85,"")</f>
        <v>16</v>
      </c>
      <c r="M85" s="17">
        <v>46114</v>
      </c>
      <c r="N85" s="17">
        <v>46115</v>
      </c>
      <c r="O85" s="18" t="s">
        <v>267</v>
      </c>
      <c r="P85" s="12">
        <v>14</v>
      </c>
      <c r="Q85" s="19"/>
      <c r="R85" s="19"/>
    </row>
    <row r="86" spans="1:18" hidden="1" x14ac:dyDescent="0.25">
      <c r="A86" s="12">
        <v>3</v>
      </c>
      <c r="B86" s="13"/>
      <c r="C86" s="14">
        <v>890424</v>
      </c>
      <c r="D86" s="14" t="s">
        <v>117</v>
      </c>
      <c r="E86" s="15" t="s">
        <v>118</v>
      </c>
      <c r="F86" s="12">
        <v>3</v>
      </c>
      <c r="G86" s="15" t="s">
        <v>252</v>
      </c>
      <c r="H86" s="14" t="s">
        <v>262</v>
      </c>
      <c r="I86" s="15" t="s">
        <v>263</v>
      </c>
      <c r="J86" s="12">
        <v>1</v>
      </c>
      <c r="K86" s="12">
        <v>20</v>
      </c>
      <c r="L86" s="16">
        <f t="shared" si="17"/>
        <v>20</v>
      </c>
      <c r="M86" s="17">
        <v>46112</v>
      </c>
      <c r="N86" s="17">
        <v>46113</v>
      </c>
      <c r="O86" s="18" t="s">
        <v>242</v>
      </c>
      <c r="P86" s="12">
        <v>14</v>
      </c>
      <c r="Q86" s="19"/>
      <c r="R86" s="19"/>
    </row>
    <row r="87" spans="1:18" hidden="1" x14ac:dyDescent="0.25">
      <c r="A87" s="12">
        <v>4</v>
      </c>
      <c r="B87" s="13"/>
      <c r="C87" s="14">
        <v>890426</v>
      </c>
      <c r="D87" s="14" t="s">
        <v>117</v>
      </c>
      <c r="E87" s="15" t="s">
        <v>118</v>
      </c>
      <c r="F87" s="12">
        <v>3</v>
      </c>
      <c r="G87" s="15" t="s">
        <v>264</v>
      </c>
      <c r="H87" s="14" t="s">
        <v>265</v>
      </c>
      <c r="I87" s="15" t="s">
        <v>266</v>
      </c>
      <c r="J87" s="14">
        <v>1</v>
      </c>
      <c r="K87" s="14">
        <v>14</v>
      </c>
      <c r="L87" s="16">
        <f t="shared" si="17"/>
        <v>14</v>
      </c>
      <c r="M87" s="17">
        <v>46115</v>
      </c>
      <c r="N87" s="17">
        <v>46116</v>
      </c>
      <c r="O87" s="18" t="s">
        <v>205</v>
      </c>
      <c r="P87" s="12">
        <v>14</v>
      </c>
      <c r="Q87" s="19"/>
      <c r="R87" s="19"/>
    </row>
    <row r="88" spans="1:18" hidden="1" x14ac:dyDescent="0.25">
      <c r="A88" s="5"/>
      <c r="B88" s="6"/>
      <c r="C88" s="7"/>
      <c r="D88" s="7"/>
      <c r="E88" s="8"/>
      <c r="F88" s="7"/>
      <c r="G88" s="8" t="s">
        <v>68</v>
      </c>
      <c r="H88" s="7"/>
      <c r="I88" s="8"/>
      <c r="J88" s="9"/>
      <c r="K88" s="9"/>
      <c r="L88" s="9"/>
      <c r="M88" s="10"/>
      <c r="N88" s="10"/>
      <c r="O88" s="11"/>
      <c r="P88" s="9">
        <v>15</v>
      </c>
      <c r="Q88" s="11"/>
      <c r="R88" s="11"/>
    </row>
    <row r="89" spans="1:18" hidden="1" x14ac:dyDescent="0.25">
      <c r="A89" s="12">
        <v>1</v>
      </c>
      <c r="B89" s="13"/>
      <c r="C89" s="14">
        <v>890428</v>
      </c>
      <c r="D89" s="14" t="s">
        <v>117</v>
      </c>
      <c r="E89" s="15" t="s">
        <v>118</v>
      </c>
      <c r="F89" s="12">
        <v>3</v>
      </c>
      <c r="G89" s="15" t="s">
        <v>268</v>
      </c>
      <c r="H89" s="14" t="s">
        <v>269</v>
      </c>
      <c r="I89" s="15" t="s">
        <v>270</v>
      </c>
      <c r="J89" s="14">
        <v>1</v>
      </c>
      <c r="K89" s="14">
        <v>5</v>
      </c>
      <c r="L89" s="16">
        <f t="shared" ref="L89:L93" si="18">IF(J89&lt;&gt;"",J89*K89,"")</f>
        <v>5</v>
      </c>
      <c r="M89" s="17">
        <v>46123</v>
      </c>
      <c r="N89" s="17">
        <v>46123</v>
      </c>
      <c r="O89" s="18" t="s">
        <v>30</v>
      </c>
      <c r="P89" s="12">
        <v>15</v>
      </c>
      <c r="Q89" s="19"/>
      <c r="R89" s="19"/>
    </row>
    <row r="90" spans="1:18" hidden="1" x14ac:dyDescent="0.25">
      <c r="A90" s="12">
        <v>2</v>
      </c>
      <c r="B90" s="13"/>
      <c r="C90" s="14">
        <v>890430</v>
      </c>
      <c r="D90" s="14" t="s">
        <v>117</v>
      </c>
      <c r="E90" s="15" t="s">
        <v>118</v>
      </c>
      <c r="F90" s="12">
        <v>3</v>
      </c>
      <c r="G90" s="15" t="s">
        <v>271</v>
      </c>
      <c r="H90" s="14" t="s">
        <v>272</v>
      </c>
      <c r="I90" s="15" t="s">
        <v>273</v>
      </c>
      <c r="J90" s="14">
        <v>1</v>
      </c>
      <c r="K90" s="14">
        <v>5</v>
      </c>
      <c r="L90" s="16">
        <f t="shared" si="18"/>
        <v>5</v>
      </c>
      <c r="M90" s="17">
        <v>46119</v>
      </c>
      <c r="N90" s="17">
        <v>46119</v>
      </c>
      <c r="O90" s="18" t="s">
        <v>20</v>
      </c>
      <c r="P90" s="12">
        <v>15</v>
      </c>
      <c r="Q90" s="19"/>
      <c r="R90" s="19"/>
    </row>
    <row r="91" spans="1:18" hidden="1" x14ac:dyDescent="0.25">
      <c r="A91" s="12">
        <v>3</v>
      </c>
      <c r="B91" s="13"/>
      <c r="C91" s="14">
        <v>890432</v>
      </c>
      <c r="D91" s="14" t="s">
        <v>117</v>
      </c>
      <c r="E91" s="15" t="s">
        <v>118</v>
      </c>
      <c r="F91" s="12">
        <v>3</v>
      </c>
      <c r="G91" s="15" t="s">
        <v>264</v>
      </c>
      <c r="H91" s="14" t="s">
        <v>274</v>
      </c>
      <c r="I91" s="15" t="s">
        <v>275</v>
      </c>
      <c r="J91" s="12">
        <v>1</v>
      </c>
      <c r="K91" s="12">
        <v>10</v>
      </c>
      <c r="L91" s="16">
        <f t="shared" si="18"/>
        <v>10</v>
      </c>
      <c r="M91" s="17">
        <v>46118</v>
      </c>
      <c r="N91" s="17">
        <v>46118</v>
      </c>
      <c r="O91" s="18" t="s">
        <v>18</v>
      </c>
      <c r="P91" s="12">
        <v>15</v>
      </c>
      <c r="Q91" s="19"/>
      <c r="R91" s="19"/>
    </row>
    <row r="92" spans="1:18" hidden="1" x14ac:dyDescent="0.25">
      <c r="A92" s="12">
        <v>4</v>
      </c>
      <c r="B92" s="13"/>
      <c r="C92" s="14">
        <v>890468</v>
      </c>
      <c r="D92" s="14" t="s">
        <v>117</v>
      </c>
      <c r="E92" s="15" t="s">
        <v>118</v>
      </c>
      <c r="F92" s="12">
        <v>3</v>
      </c>
      <c r="G92" s="15" t="s">
        <v>111</v>
      </c>
      <c r="H92" s="14" t="s">
        <v>276</v>
      </c>
      <c r="I92" s="15" t="s">
        <v>277</v>
      </c>
      <c r="J92" s="14">
        <v>1</v>
      </c>
      <c r="K92" s="14">
        <v>10</v>
      </c>
      <c r="L92" s="16">
        <f t="shared" si="18"/>
        <v>10</v>
      </c>
      <c r="M92" s="17">
        <v>46120</v>
      </c>
      <c r="N92" s="17">
        <v>46120</v>
      </c>
      <c r="O92" s="18" t="s">
        <v>23</v>
      </c>
      <c r="P92" s="12">
        <v>15</v>
      </c>
      <c r="Q92" s="19"/>
      <c r="R92" s="19"/>
    </row>
    <row r="93" spans="1:18" hidden="1" x14ac:dyDescent="0.25">
      <c r="A93" s="12">
        <v>5</v>
      </c>
      <c r="B93" s="13"/>
      <c r="C93" s="14">
        <v>890484</v>
      </c>
      <c r="D93" s="14" t="s">
        <v>117</v>
      </c>
      <c r="E93" s="15" t="s">
        <v>118</v>
      </c>
      <c r="F93" s="12">
        <v>3</v>
      </c>
      <c r="G93" s="15" t="s">
        <v>111</v>
      </c>
      <c r="H93" s="14" t="s">
        <v>278</v>
      </c>
      <c r="I93" s="15" t="s">
        <v>279</v>
      </c>
      <c r="J93" s="14">
        <v>1</v>
      </c>
      <c r="K93" s="14">
        <v>20</v>
      </c>
      <c r="L93" s="16">
        <f t="shared" si="18"/>
        <v>20</v>
      </c>
      <c r="M93" s="17">
        <v>46121</v>
      </c>
      <c r="N93" s="17">
        <v>46122</v>
      </c>
      <c r="O93" s="18" t="s">
        <v>267</v>
      </c>
      <c r="P93" s="12">
        <v>15</v>
      </c>
      <c r="Q93" s="19"/>
      <c r="R93" s="19"/>
    </row>
    <row r="94" spans="1:18" hidden="1" x14ac:dyDescent="0.25">
      <c r="A94" s="12">
        <v>6</v>
      </c>
      <c r="B94" s="13"/>
      <c r="C94" s="14">
        <v>890494</v>
      </c>
      <c r="D94" s="14" t="s">
        <v>117</v>
      </c>
      <c r="E94" s="15" t="s">
        <v>118</v>
      </c>
      <c r="F94" s="12">
        <v>3</v>
      </c>
      <c r="G94" s="15" t="s">
        <v>111</v>
      </c>
      <c r="H94" s="14" t="s">
        <v>280</v>
      </c>
      <c r="I94" s="15" t="s">
        <v>281</v>
      </c>
      <c r="J94" s="14">
        <v>1</v>
      </c>
      <c r="K94" s="14">
        <v>10</v>
      </c>
      <c r="L94" s="16">
        <f>IF(J94&lt;&gt;"",J94*K94,"")</f>
        <v>10</v>
      </c>
      <c r="M94" s="17">
        <v>46124</v>
      </c>
      <c r="N94" s="17">
        <v>46124</v>
      </c>
      <c r="O94" s="18" t="s">
        <v>32</v>
      </c>
      <c r="P94" s="12">
        <v>15</v>
      </c>
      <c r="Q94" s="19"/>
      <c r="R94" s="19"/>
    </row>
    <row r="95" spans="1:18" hidden="1" x14ac:dyDescent="0.25">
      <c r="A95" s="12">
        <v>7</v>
      </c>
      <c r="B95" s="13"/>
      <c r="C95" s="14">
        <v>893324</v>
      </c>
      <c r="D95" s="14" t="s">
        <v>119</v>
      </c>
      <c r="E95" s="15" t="s">
        <v>120</v>
      </c>
      <c r="F95" s="12">
        <v>3</v>
      </c>
      <c r="G95" s="15" t="s">
        <v>143</v>
      </c>
      <c r="H95" s="14" t="s">
        <v>282</v>
      </c>
      <c r="I95" s="15" t="s">
        <v>283</v>
      </c>
      <c r="J95" s="14">
        <v>1</v>
      </c>
      <c r="K95" s="14">
        <v>10</v>
      </c>
      <c r="L95" s="16">
        <f t="shared" ref="L95" si="19">IF(J95&lt;&gt;"",J95*K95,"")</f>
        <v>10</v>
      </c>
      <c r="M95" s="17">
        <v>46120</v>
      </c>
      <c r="N95" s="17">
        <v>46123</v>
      </c>
      <c r="O95" s="18" t="s">
        <v>142</v>
      </c>
      <c r="P95" s="12">
        <v>15</v>
      </c>
      <c r="Q95" s="19"/>
      <c r="R95" s="19"/>
    </row>
    <row r="96" spans="1:18" hidden="1" x14ac:dyDescent="0.25">
      <c r="A96" s="5"/>
      <c r="B96" s="6"/>
      <c r="C96" s="7"/>
      <c r="D96" s="7"/>
      <c r="E96" s="8"/>
      <c r="F96" s="7"/>
      <c r="G96" s="8" t="s">
        <v>69</v>
      </c>
      <c r="H96" s="7"/>
      <c r="I96" s="8"/>
      <c r="J96" s="9"/>
      <c r="K96" s="9"/>
      <c r="L96" s="9"/>
      <c r="M96" s="10"/>
      <c r="N96" s="10"/>
      <c r="O96" s="11"/>
      <c r="P96" s="9">
        <v>16</v>
      </c>
      <c r="Q96" s="11"/>
      <c r="R96" s="11"/>
    </row>
    <row r="97" spans="1:18" hidden="1" x14ac:dyDescent="0.25">
      <c r="A97" s="12">
        <v>1</v>
      </c>
      <c r="B97" s="13"/>
      <c r="C97" s="14">
        <v>890431</v>
      </c>
      <c r="D97" s="14" t="s">
        <v>117</v>
      </c>
      <c r="E97" s="15" t="s">
        <v>118</v>
      </c>
      <c r="F97" s="12">
        <v>3</v>
      </c>
      <c r="G97" s="15" t="s">
        <v>94</v>
      </c>
      <c r="H97" s="14" t="s">
        <v>285</v>
      </c>
      <c r="I97" s="15" t="s">
        <v>286</v>
      </c>
      <c r="J97" s="14">
        <v>2</v>
      </c>
      <c r="K97" s="14">
        <v>5</v>
      </c>
      <c r="L97" s="16">
        <f t="shared" ref="L97:L101" si="20">IF(J97&lt;&gt;"",J97*K97,"")</f>
        <v>10</v>
      </c>
      <c r="M97" s="17">
        <v>46128</v>
      </c>
      <c r="N97" s="17">
        <v>46128</v>
      </c>
      <c r="O97" s="18" t="s">
        <v>25</v>
      </c>
      <c r="P97" s="12">
        <v>16</v>
      </c>
      <c r="Q97" s="19"/>
      <c r="R97" s="19"/>
    </row>
    <row r="98" spans="1:18" hidden="1" x14ac:dyDescent="0.25">
      <c r="A98" s="12">
        <v>2</v>
      </c>
      <c r="B98" s="13"/>
      <c r="C98" s="14">
        <v>890439</v>
      </c>
      <c r="D98" s="14" t="s">
        <v>117</v>
      </c>
      <c r="E98" s="15" t="s">
        <v>118</v>
      </c>
      <c r="F98" s="12">
        <v>3</v>
      </c>
      <c r="G98" s="15" t="s">
        <v>268</v>
      </c>
      <c r="H98" s="14" t="s">
        <v>287</v>
      </c>
      <c r="I98" s="15" t="s">
        <v>288</v>
      </c>
      <c r="J98" s="14">
        <v>1</v>
      </c>
      <c r="K98" s="14">
        <v>10</v>
      </c>
      <c r="L98" s="16">
        <f t="shared" si="20"/>
        <v>10</v>
      </c>
      <c r="M98" s="17">
        <v>46131</v>
      </c>
      <c r="N98" s="17">
        <v>46131</v>
      </c>
      <c r="O98" s="18" t="s">
        <v>32</v>
      </c>
      <c r="P98" s="12">
        <v>16</v>
      </c>
      <c r="Q98" s="19"/>
      <c r="R98" s="19"/>
    </row>
    <row r="99" spans="1:18" hidden="1" x14ac:dyDescent="0.25">
      <c r="A99" s="12">
        <v>3</v>
      </c>
      <c r="B99" s="13"/>
      <c r="C99" s="14">
        <v>890461</v>
      </c>
      <c r="D99" s="14" t="s">
        <v>117</v>
      </c>
      <c r="E99" s="15" t="s">
        <v>118</v>
      </c>
      <c r="F99" s="12">
        <v>3</v>
      </c>
      <c r="G99" s="15" t="s">
        <v>111</v>
      </c>
      <c r="H99" s="14" t="s">
        <v>289</v>
      </c>
      <c r="I99" s="15" t="s">
        <v>290</v>
      </c>
      <c r="J99" s="12">
        <v>2</v>
      </c>
      <c r="K99" s="12">
        <v>5</v>
      </c>
      <c r="L99" s="16">
        <f t="shared" si="20"/>
        <v>10</v>
      </c>
      <c r="M99" s="17">
        <v>46125</v>
      </c>
      <c r="N99" s="17">
        <v>46126</v>
      </c>
      <c r="O99" s="18" t="s">
        <v>194</v>
      </c>
      <c r="P99" s="12">
        <v>16</v>
      </c>
      <c r="Q99" s="19"/>
      <c r="R99" s="19"/>
    </row>
    <row r="100" spans="1:18" hidden="1" x14ac:dyDescent="0.25">
      <c r="A100" s="12">
        <v>4</v>
      </c>
      <c r="B100" s="13"/>
      <c r="C100" s="14">
        <v>890462</v>
      </c>
      <c r="D100" s="14" t="s">
        <v>117</v>
      </c>
      <c r="E100" s="15" t="s">
        <v>118</v>
      </c>
      <c r="F100" s="12">
        <v>3</v>
      </c>
      <c r="G100" s="15" t="s">
        <v>111</v>
      </c>
      <c r="H100" s="14" t="s">
        <v>291</v>
      </c>
      <c r="I100" s="15" t="s">
        <v>292</v>
      </c>
      <c r="J100" s="14">
        <v>2</v>
      </c>
      <c r="K100" s="14">
        <v>5</v>
      </c>
      <c r="L100" s="16">
        <f t="shared" si="20"/>
        <v>10</v>
      </c>
      <c r="M100" s="17">
        <v>46126</v>
      </c>
      <c r="N100" s="17">
        <v>46126</v>
      </c>
      <c r="O100" s="18" t="s">
        <v>20</v>
      </c>
      <c r="P100" s="12">
        <v>16</v>
      </c>
      <c r="Q100" s="19"/>
      <c r="R100" s="19"/>
    </row>
    <row r="101" spans="1:18" hidden="1" x14ac:dyDescent="0.25">
      <c r="A101" s="12">
        <v>5</v>
      </c>
      <c r="B101" s="13"/>
      <c r="C101" s="14">
        <v>890463</v>
      </c>
      <c r="D101" s="14" t="s">
        <v>117</v>
      </c>
      <c r="E101" s="15" t="s">
        <v>118</v>
      </c>
      <c r="F101" s="12">
        <v>3</v>
      </c>
      <c r="G101" s="15" t="s">
        <v>111</v>
      </c>
      <c r="H101" s="14" t="s">
        <v>293</v>
      </c>
      <c r="I101" s="15" t="s">
        <v>292</v>
      </c>
      <c r="J101" s="14">
        <v>2</v>
      </c>
      <c r="K101" s="14">
        <v>5</v>
      </c>
      <c r="L101" s="16">
        <f t="shared" si="20"/>
        <v>10</v>
      </c>
      <c r="M101" s="17">
        <v>46127</v>
      </c>
      <c r="N101" s="17">
        <v>46127</v>
      </c>
      <c r="O101" s="18" t="s">
        <v>23</v>
      </c>
      <c r="P101" s="12">
        <v>16</v>
      </c>
      <c r="Q101" s="19"/>
      <c r="R101" s="19"/>
    </row>
    <row r="102" spans="1:18" hidden="1" x14ac:dyDescent="0.25">
      <c r="A102" s="12">
        <v>6</v>
      </c>
      <c r="B102" s="13"/>
      <c r="C102" s="14">
        <v>890486</v>
      </c>
      <c r="D102" s="14" t="s">
        <v>117</v>
      </c>
      <c r="E102" s="15" t="s">
        <v>118</v>
      </c>
      <c r="F102" s="12">
        <v>3</v>
      </c>
      <c r="G102" s="15" t="s">
        <v>111</v>
      </c>
      <c r="H102" s="14" t="s">
        <v>294</v>
      </c>
      <c r="I102" s="15" t="s">
        <v>295</v>
      </c>
      <c r="J102" s="14">
        <v>2</v>
      </c>
      <c r="K102" s="14">
        <v>10</v>
      </c>
      <c r="L102" s="16">
        <f>IF(J102&lt;&gt;"",J102*K102,"")</f>
        <v>20</v>
      </c>
      <c r="M102" s="17">
        <v>46127</v>
      </c>
      <c r="N102" s="17">
        <v>46128</v>
      </c>
      <c r="O102" s="18" t="s">
        <v>140</v>
      </c>
      <c r="P102" s="12">
        <v>16</v>
      </c>
      <c r="Q102" s="19"/>
      <c r="R102" s="19"/>
    </row>
    <row r="103" spans="1:18" hidden="1" x14ac:dyDescent="0.25">
      <c r="A103" s="12">
        <v>7</v>
      </c>
      <c r="B103" s="13"/>
      <c r="C103" s="14">
        <v>893327</v>
      </c>
      <c r="D103" s="14" t="s">
        <v>119</v>
      </c>
      <c r="E103" s="15" t="s">
        <v>120</v>
      </c>
      <c r="F103" s="12">
        <v>3</v>
      </c>
      <c r="G103" s="15" t="s">
        <v>143</v>
      </c>
      <c r="H103" s="14" t="s">
        <v>296</v>
      </c>
      <c r="I103" s="15" t="s">
        <v>297</v>
      </c>
      <c r="J103" s="14">
        <v>2</v>
      </c>
      <c r="K103" s="14">
        <v>7</v>
      </c>
      <c r="L103" s="16">
        <f t="shared" ref="L103:L104" si="21">IF(J103&lt;&gt;"",J103*K103,"")</f>
        <v>14</v>
      </c>
      <c r="M103" s="17">
        <v>46125</v>
      </c>
      <c r="N103" s="17">
        <v>46130</v>
      </c>
      <c r="O103" s="18" t="s">
        <v>302</v>
      </c>
      <c r="P103" s="12">
        <v>16</v>
      </c>
      <c r="Q103" s="19"/>
      <c r="R103" s="19"/>
    </row>
    <row r="104" spans="1:18" hidden="1" x14ac:dyDescent="0.25">
      <c r="A104" s="12">
        <v>8</v>
      </c>
      <c r="B104" s="13"/>
      <c r="C104" s="14">
        <v>927685</v>
      </c>
      <c r="D104" s="14" t="s">
        <v>127</v>
      </c>
      <c r="E104" s="15" t="s">
        <v>128</v>
      </c>
      <c r="F104" s="12">
        <v>3</v>
      </c>
      <c r="G104" s="15" t="s">
        <v>298</v>
      </c>
      <c r="H104" s="14" t="s">
        <v>299</v>
      </c>
      <c r="I104" s="15" t="s">
        <v>300</v>
      </c>
      <c r="J104" s="14">
        <v>1</v>
      </c>
      <c r="K104" s="14">
        <v>5</v>
      </c>
      <c r="L104" s="16">
        <f t="shared" si="21"/>
        <v>5</v>
      </c>
      <c r="M104" s="17">
        <v>46129</v>
      </c>
      <c r="N104" s="17">
        <v>46129</v>
      </c>
      <c r="O104" s="18" t="s">
        <v>27</v>
      </c>
      <c r="P104" s="12">
        <v>16</v>
      </c>
      <c r="Q104" s="19"/>
      <c r="R104" s="19"/>
    </row>
    <row r="105" spans="1:18" hidden="1" x14ac:dyDescent="0.25">
      <c r="A105" s="12">
        <v>9</v>
      </c>
      <c r="B105" s="13"/>
      <c r="C105" s="14">
        <v>933943</v>
      </c>
      <c r="D105" s="14" t="s">
        <v>127</v>
      </c>
      <c r="E105" s="15" t="s">
        <v>128</v>
      </c>
      <c r="F105" s="12">
        <v>3</v>
      </c>
      <c r="G105" s="15" t="s">
        <v>236</v>
      </c>
      <c r="H105" s="14" t="s">
        <v>299</v>
      </c>
      <c r="I105" s="15" t="s">
        <v>300</v>
      </c>
      <c r="J105" s="14">
        <v>1</v>
      </c>
      <c r="K105" s="14">
        <v>10</v>
      </c>
      <c r="L105" s="16">
        <f t="shared" ref="L105" si="22">IF(J105&lt;&gt;"",J105*K105,"")</f>
        <v>10</v>
      </c>
      <c r="M105" s="17">
        <v>46129</v>
      </c>
      <c r="N105" s="17">
        <v>46130</v>
      </c>
      <c r="O105" s="18" t="s">
        <v>205</v>
      </c>
      <c r="P105" s="12">
        <v>16</v>
      </c>
      <c r="Q105" s="19"/>
      <c r="R105" s="19"/>
    </row>
    <row r="106" spans="1:18" hidden="1" x14ac:dyDescent="0.25">
      <c r="A106" s="5"/>
      <c r="B106" s="6"/>
      <c r="C106" s="7"/>
      <c r="D106" s="7"/>
      <c r="E106" s="8"/>
      <c r="F106" s="7"/>
      <c r="G106" s="8" t="s">
        <v>70</v>
      </c>
      <c r="H106" s="7"/>
      <c r="I106" s="8"/>
      <c r="J106" s="9"/>
      <c r="K106" s="9"/>
      <c r="L106" s="9"/>
      <c r="M106" s="10"/>
      <c r="N106" s="10"/>
      <c r="O106" s="11"/>
      <c r="P106" s="9">
        <v>17</v>
      </c>
      <c r="Q106" s="11"/>
      <c r="R106" s="11"/>
    </row>
    <row r="107" spans="1:18" hidden="1" x14ac:dyDescent="0.25">
      <c r="A107" s="12">
        <v>1</v>
      </c>
      <c r="B107" s="13"/>
      <c r="C107" s="14">
        <v>890438</v>
      </c>
      <c r="D107" s="14" t="s">
        <v>117</v>
      </c>
      <c r="E107" s="15" t="s">
        <v>118</v>
      </c>
      <c r="F107" s="12">
        <v>3</v>
      </c>
      <c r="G107" s="15" t="s">
        <v>304</v>
      </c>
      <c r="H107" s="14" t="s">
        <v>305</v>
      </c>
      <c r="I107" s="15" t="s">
        <v>306</v>
      </c>
      <c r="J107" s="14">
        <v>1</v>
      </c>
      <c r="K107" s="14">
        <v>15</v>
      </c>
      <c r="L107" s="16">
        <f t="shared" ref="L107:L110" si="23">IF(J107&lt;&gt;"",J107*K107,"")</f>
        <v>15</v>
      </c>
      <c r="M107" s="17">
        <v>46136</v>
      </c>
      <c r="N107" s="17">
        <v>46137</v>
      </c>
      <c r="O107" s="18" t="s">
        <v>205</v>
      </c>
      <c r="P107" s="12">
        <v>17</v>
      </c>
      <c r="Q107" s="19"/>
      <c r="R107" s="19"/>
    </row>
    <row r="108" spans="1:18" hidden="1" x14ac:dyDescent="0.25">
      <c r="A108" s="12">
        <v>2</v>
      </c>
      <c r="B108" s="13"/>
      <c r="C108" s="14">
        <v>893325</v>
      </c>
      <c r="D108" s="14" t="s">
        <v>119</v>
      </c>
      <c r="E108" s="15" t="s">
        <v>120</v>
      </c>
      <c r="F108" s="12">
        <v>3</v>
      </c>
      <c r="G108" s="15" t="s">
        <v>143</v>
      </c>
      <c r="H108" s="14" t="s">
        <v>308</v>
      </c>
      <c r="I108" s="15" t="s">
        <v>309</v>
      </c>
      <c r="J108" s="14">
        <v>1</v>
      </c>
      <c r="K108" s="14">
        <v>15</v>
      </c>
      <c r="L108" s="16">
        <f>IF(J108&lt;&gt;"",J108*K108,"")</f>
        <v>15</v>
      </c>
      <c r="M108" s="17">
        <v>46132</v>
      </c>
      <c r="N108" s="17">
        <v>46137</v>
      </c>
      <c r="O108" s="18" t="s">
        <v>310</v>
      </c>
      <c r="P108" s="12">
        <v>17</v>
      </c>
      <c r="Q108" s="19"/>
      <c r="R108" s="19"/>
    </row>
    <row r="109" spans="1:18" hidden="1" x14ac:dyDescent="0.25">
      <c r="A109" s="12">
        <v>3</v>
      </c>
      <c r="B109" s="13"/>
      <c r="C109" s="14">
        <v>916731</v>
      </c>
      <c r="D109" s="14" t="s">
        <v>127</v>
      </c>
      <c r="E109" s="15" t="s">
        <v>128</v>
      </c>
      <c r="F109" s="12">
        <v>3</v>
      </c>
      <c r="G109" s="15" t="s">
        <v>104</v>
      </c>
      <c r="H109" s="14" t="s">
        <v>307</v>
      </c>
      <c r="I109" s="15" t="s">
        <v>259</v>
      </c>
      <c r="J109" s="14">
        <v>1</v>
      </c>
      <c r="K109" s="14">
        <v>5</v>
      </c>
      <c r="L109" s="16">
        <f t="shared" si="23"/>
        <v>5</v>
      </c>
      <c r="M109" s="17">
        <v>46138</v>
      </c>
      <c r="N109" s="17">
        <v>46138</v>
      </c>
      <c r="O109" s="18" t="s">
        <v>32</v>
      </c>
      <c r="P109" s="12">
        <v>17</v>
      </c>
      <c r="Q109" s="19"/>
      <c r="R109" s="19"/>
    </row>
    <row r="110" spans="1:18" hidden="1" x14ac:dyDescent="0.25">
      <c r="A110" s="12">
        <v>4</v>
      </c>
      <c r="B110" s="13"/>
      <c r="C110" s="14">
        <v>921004</v>
      </c>
      <c r="D110" s="14" t="s">
        <v>127</v>
      </c>
      <c r="E110" s="15" t="s">
        <v>128</v>
      </c>
      <c r="F110" s="12">
        <v>3</v>
      </c>
      <c r="G110" s="15" t="s">
        <v>104</v>
      </c>
      <c r="H110" s="14" t="s">
        <v>145</v>
      </c>
      <c r="I110" s="15" t="s">
        <v>146</v>
      </c>
      <c r="J110" s="12">
        <v>1</v>
      </c>
      <c r="K110" s="12">
        <v>5</v>
      </c>
      <c r="L110" s="16">
        <f t="shared" si="23"/>
        <v>5</v>
      </c>
      <c r="M110" s="17">
        <v>46138</v>
      </c>
      <c r="N110" s="17">
        <v>46138</v>
      </c>
      <c r="O110" s="18" t="s">
        <v>32</v>
      </c>
      <c r="P110" s="12">
        <v>17</v>
      </c>
      <c r="Q110" s="19"/>
      <c r="R110" s="19"/>
    </row>
    <row r="111" spans="1:18" hidden="1" x14ac:dyDescent="0.25">
      <c r="A111" s="5"/>
      <c r="B111" s="6"/>
      <c r="C111" s="7"/>
      <c r="D111" s="7"/>
      <c r="E111" s="8"/>
      <c r="F111" s="7"/>
      <c r="G111" s="8" t="s">
        <v>71</v>
      </c>
      <c r="H111" s="7"/>
      <c r="I111" s="8"/>
      <c r="J111" s="9"/>
      <c r="K111" s="9"/>
      <c r="L111" s="9"/>
      <c r="M111" s="10"/>
      <c r="N111" s="10"/>
      <c r="O111" s="11"/>
      <c r="P111" s="9">
        <v>18</v>
      </c>
      <c r="Q111" s="11"/>
      <c r="R111" s="11"/>
    </row>
    <row r="112" spans="1:18" hidden="1" x14ac:dyDescent="0.25">
      <c r="A112" s="123"/>
      <c r="B112" s="131"/>
      <c r="C112" s="121">
        <v>890371</v>
      </c>
      <c r="D112" s="121" t="s">
        <v>91</v>
      </c>
      <c r="E112" s="122" t="s">
        <v>92</v>
      </c>
      <c r="F112" s="123" t="s">
        <v>93</v>
      </c>
      <c r="G112" s="122" t="s">
        <v>144</v>
      </c>
      <c r="H112" s="121" t="s">
        <v>200</v>
      </c>
      <c r="I112" s="122" t="s">
        <v>201</v>
      </c>
      <c r="J112" s="121">
        <v>1</v>
      </c>
      <c r="K112" s="121">
        <v>10</v>
      </c>
      <c r="L112" s="124">
        <f>K112*J112</f>
        <v>10</v>
      </c>
      <c r="M112" s="125">
        <v>46139</v>
      </c>
      <c r="N112" s="125">
        <v>46139</v>
      </c>
      <c r="O112" s="126" t="s">
        <v>324</v>
      </c>
      <c r="P112" s="123">
        <v>18</v>
      </c>
      <c r="Q112" s="19"/>
      <c r="R112" s="19"/>
    </row>
    <row r="113" spans="1:18" hidden="1" x14ac:dyDescent="0.25">
      <c r="A113" s="123"/>
      <c r="B113" s="131"/>
      <c r="C113" s="121">
        <v>890377</v>
      </c>
      <c r="D113" s="121" t="s">
        <v>91</v>
      </c>
      <c r="E113" s="122" t="s">
        <v>92</v>
      </c>
      <c r="F113" s="123" t="s">
        <v>93</v>
      </c>
      <c r="G113" s="122" t="s">
        <v>144</v>
      </c>
      <c r="H113" s="121" t="s">
        <v>311</v>
      </c>
      <c r="I113" s="122" t="s">
        <v>312</v>
      </c>
      <c r="J113" s="121">
        <v>1</v>
      </c>
      <c r="K113" s="121">
        <v>20</v>
      </c>
      <c r="L113" s="124">
        <f t="shared" ref="L113:L118" si="24">K113*J113</f>
        <v>20</v>
      </c>
      <c r="M113" s="125">
        <v>46140</v>
      </c>
      <c r="N113" s="125">
        <v>46141</v>
      </c>
      <c r="O113" s="126" t="s">
        <v>325</v>
      </c>
      <c r="P113" s="123">
        <v>18</v>
      </c>
      <c r="Q113" s="19"/>
      <c r="R113" s="19"/>
    </row>
    <row r="114" spans="1:18" hidden="1" x14ac:dyDescent="0.25">
      <c r="A114" s="123"/>
      <c r="B114" s="131"/>
      <c r="C114" s="121">
        <v>890425</v>
      </c>
      <c r="D114" s="121" t="s">
        <v>91</v>
      </c>
      <c r="E114" s="122" t="s">
        <v>92</v>
      </c>
      <c r="F114" s="123" t="s">
        <v>93</v>
      </c>
      <c r="G114" s="122" t="s">
        <v>94</v>
      </c>
      <c r="H114" s="121" t="s">
        <v>313</v>
      </c>
      <c r="I114" s="122" t="s">
        <v>314</v>
      </c>
      <c r="J114" s="121">
        <v>1</v>
      </c>
      <c r="K114" s="121">
        <v>10</v>
      </c>
      <c r="L114" s="124">
        <f t="shared" si="24"/>
        <v>10</v>
      </c>
      <c r="M114" s="125">
        <v>46142</v>
      </c>
      <c r="N114" s="125">
        <v>46142</v>
      </c>
      <c r="O114" s="126" t="s">
        <v>50</v>
      </c>
      <c r="P114" s="123">
        <v>18</v>
      </c>
      <c r="Q114" s="19"/>
      <c r="R114" s="19"/>
    </row>
    <row r="115" spans="1:18" hidden="1" x14ac:dyDescent="0.25">
      <c r="A115" s="123"/>
      <c r="B115" s="131"/>
      <c r="C115" s="121">
        <v>890457</v>
      </c>
      <c r="D115" s="121" t="s">
        <v>91</v>
      </c>
      <c r="E115" s="122" t="s">
        <v>92</v>
      </c>
      <c r="F115" s="123" t="s">
        <v>93</v>
      </c>
      <c r="G115" s="122" t="s">
        <v>111</v>
      </c>
      <c r="H115" s="121" t="s">
        <v>315</v>
      </c>
      <c r="I115" s="122" t="s">
        <v>316</v>
      </c>
      <c r="J115" s="121">
        <v>2</v>
      </c>
      <c r="K115" s="121">
        <v>10</v>
      </c>
      <c r="L115" s="124">
        <f t="shared" si="24"/>
        <v>20</v>
      </c>
      <c r="M115" s="125">
        <v>46143</v>
      </c>
      <c r="N115" s="125">
        <v>46143</v>
      </c>
      <c r="O115" s="126" t="s">
        <v>51</v>
      </c>
      <c r="P115" s="123">
        <v>18</v>
      </c>
      <c r="Q115" s="19"/>
      <c r="R115" s="19"/>
    </row>
    <row r="116" spans="1:18" hidden="1" x14ac:dyDescent="0.25">
      <c r="A116" s="123"/>
      <c r="B116" s="131"/>
      <c r="C116" s="121">
        <v>890459</v>
      </c>
      <c r="D116" s="121" t="s">
        <v>91</v>
      </c>
      <c r="E116" s="122" t="s">
        <v>92</v>
      </c>
      <c r="F116" s="123" t="s">
        <v>93</v>
      </c>
      <c r="G116" s="122" t="s">
        <v>317</v>
      </c>
      <c r="H116" s="121" t="s">
        <v>318</v>
      </c>
      <c r="I116" s="122" t="s">
        <v>319</v>
      </c>
      <c r="J116" s="121">
        <v>2</v>
      </c>
      <c r="K116" s="121">
        <v>5</v>
      </c>
      <c r="L116" s="124">
        <f t="shared" si="24"/>
        <v>10</v>
      </c>
      <c r="M116" s="125">
        <v>46144</v>
      </c>
      <c r="N116" s="125">
        <v>46144</v>
      </c>
      <c r="O116" s="126" t="s">
        <v>52</v>
      </c>
      <c r="P116" s="123">
        <v>18</v>
      </c>
      <c r="Q116" s="19"/>
      <c r="R116" s="19"/>
    </row>
    <row r="117" spans="1:18" hidden="1" x14ac:dyDescent="0.25">
      <c r="A117" s="123"/>
      <c r="B117" s="131"/>
      <c r="C117" s="121">
        <v>890465</v>
      </c>
      <c r="D117" s="121" t="s">
        <v>91</v>
      </c>
      <c r="E117" s="122" t="s">
        <v>92</v>
      </c>
      <c r="F117" s="123" t="s">
        <v>93</v>
      </c>
      <c r="G117" s="122" t="s">
        <v>111</v>
      </c>
      <c r="H117" s="121" t="s">
        <v>320</v>
      </c>
      <c r="I117" s="122" t="s">
        <v>321</v>
      </c>
      <c r="J117" s="121">
        <v>2</v>
      </c>
      <c r="K117" s="121">
        <v>5</v>
      </c>
      <c r="L117" s="124">
        <f t="shared" si="24"/>
        <v>10</v>
      </c>
      <c r="M117" s="125">
        <v>46144</v>
      </c>
      <c r="N117" s="125">
        <v>46144</v>
      </c>
      <c r="O117" s="126" t="s">
        <v>52</v>
      </c>
      <c r="P117" s="123">
        <v>18</v>
      </c>
      <c r="Q117" s="19"/>
      <c r="R117" s="19"/>
    </row>
    <row r="118" spans="1:18" hidden="1" x14ac:dyDescent="0.25">
      <c r="A118" s="123"/>
      <c r="B118" s="131"/>
      <c r="C118" s="121">
        <v>890467</v>
      </c>
      <c r="D118" s="121" t="s">
        <v>91</v>
      </c>
      <c r="E118" s="122" t="s">
        <v>92</v>
      </c>
      <c r="F118" s="123" t="s">
        <v>93</v>
      </c>
      <c r="G118" s="122" t="s">
        <v>111</v>
      </c>
      <c r="H118" s="121" t="s">
        <v>322</v>
      </c>
      <c r="I118" s="122" t="s">
        <v>323</v>
      </c>
      <c r="J118" s="121">
        <v>2</v>
      </c>
      <c r="K118" s="121">
        <v>5</v>
      </c>
      <c r="L118" s="124">
        <f t="shared" si="24"/>
        <v>10</v>
      </c>
      <c r="M118" s="125">
        <v>46145</v>
      </c>
      <c r="N118" s="125">
        <v>46145</v>
      </c>
      <c r="O118" s="126" t="s">
        <v>53</v>
      </c>
      <c r="P118" s="123">
        <v>18</v>
      </c>
      <c r="Q118" s="19"/>
      <c r="R118" s="19"/>
    </row>
    <row r="119" spans="1:18" hidden="1" x14ac:dyDescent="0.25">
      <c r="A119" s="12"/>
      <c r="B119" s="13"/>
      <c r="C119" s="14">
        <v>878419</v>
      </c>
      <c r="D119" s="132" t="s">
        <v>100</v>
      </c>
      <c r="E119" s="133" t="s">
        <v>101</v>
      </c>
      <c r="F119" s="78" t="s">
        <v>102</v>
      </c>
      <c r="G119" s="81" t="s">
        <v>326</v>
      </c>
      <c r="H119" s="14" t="s">
        <v>327</v>
      </c>
      <c r="I119" s="81" t="s">
        <v>328</v>
      </c>
      <c r="J119" s="14">
        <v>2</v>
      </c>
      <c r="K119" s="14">
        <v>5</v>
      </c>
      <c r="L119" s="16">
        <f>IF(J119&lt;&gt;"",J119*K119,"")</f>
        <v>10</v>
      </c>
      <c r="M119" s="125">
        <v>46145</v>
      </c>
      <c r="N119" s="125">
        <v>46145</v>
      </c>
      <c r="O119" s="126" t="s">
        <v>53</v>
      </c>
      <c r="P119" s="12">
        <v>18</v>
      </c>
      <c r="Q119" s="19"/>
      <c r="R119" s="19"/>
    </row>
    <row r="120" spans="1:18" hidden="1" x14ac:dyDescent="0.25">
      <c r="A120" s="12"/>
      <c r="B120" s="13"/>
      <c r="C120" s="14"/>
      <c r="D120" s="14"/>
      <c r="E120" s="15"/>
      <c r="F120" s="12"/>
      <c r="G120" s="15"/>
      <c r="H120" s="14"/>
      <c r="I120" s="15"/>
      <c r="J120" s="14"/>
      <c r="K120" s="14"/>
      <c r="L120" s="16" t="str">
        <f t="shared" ref="L120:L121" si="25">IF(J120&lt;&gt;"",J120*K120,"")</f>
        <v/>
      </c>
      <c r="M120" s="125"/>
      <c r="N120" s="125"/>
      <c r="O120" s="126"/>
      <c r="P120" s="12">
        <v>18</v>
      </c>
      <c r="Q120" s="19"/>
      <c r="R120" s="19"/>
    </row>
    <row r="121" spans="1:18" hidden="1" x14ac:dyDescent="0.25">
      <c r="A121" s="12"/>
      <c r="B121" s="13"/>
      <c r="C121" s="14"/>
      <c r="D121" s="14"/>
      <c r="E121" s="15"/>
      <c r="F121" s="12"/>
      <c r="G121" s="15"/>
      <c r="H121" s="14"/>
      <c r="I121" s="15"/>
      <c r="J121" s="14"/>
      <c r="K121" s="14"/>
      <c r="L121" s="16" t="str">
        <f t="shared" si="25"/>
        <v/>
      </c>
      <c r="M121" s="17"/>
      <c r="N121" s="17"/>
      <c r="O121" s="18"/>
      <c r="P121" s="12">
        <v>18</v>
      </c>
      <c r="Q121" s="19"/>
      <c r="R121" s="19"/>
    </row>
    <row r="122" spans="1:18" hidden="1" x14ac:dyDescent="0.25">
      <c r="A122" s="5"/>
      <c r="B122" s="6"/>
      <c r="C122" s="7"/>
      <c r="D122" s="7"/>
      <c r="E122" s="8"/>
      <c r="F122" s="7"/>
      <c r="G122" s="8" t="s">
        <v>72</v>
      </c>
      <c r="H122" s="7"/>
      <c r="I122" s="8"/>
      <c r="J122" s="9"/>
      <c r="K122" s="9"/>
      <c r="L122" s="9"/>
      <c r="M122" s="10"/>
      <c r="N122" s="10"/>
      <c r="O122" s="11"/>
      <c r="P122" s="9">
        <v>19</v>
      </c>
      <c r="Q122" s="11"/>
      <c r="R122" s="11"/>
    </row>
    <row r="123" spans="1:18" hidden="1" x14ac:dyDescent="0.25">
      <c r="A123" s="12"/>
      <c r="B123" s="13"/>
      <c r="C123" s="14">
        <v>924159</v>
      </c>
      <c r="D123" s="14" t="s">
        <v>100</v>
      </c>
      <c r="E123" s="15" t="s">
        <v>101</v>
      </c>
      <c r="F123" s="12" t="s">
        <v>102</v>
      </c>
      <c r="G123" s="15" t="s">
        <v>222</v>
      </c>
      <c r="H123" s="14" t="s">
        <v>162</v>
      </c>
      <c r="I123" s="15" t="s">
        <v>163</v>
      </c>
      <c r="J123" s="14">
        <v>2</v>
      </c>
      <c r="K123" s="14">
        <v>5</v>
      </c>
      <c r="L123" s="16">
        <f t="shared" ref="L123:L131" si="26">IF(J123&lt;&gt;"",J123*K123,"")</f>
        <v>10</v>
      </c>
      <c r="M123" s="17">
        <v>46146</v>
      </c>
      <c r="N123" s="17">
        <v>46146</v>
      </c>
      <c r="O123" s="18" t="s">
        <v>18</v>
      </c>
      <c r="P123" s="12">
        <v>19</v>
      </c>
      <c r="Q123" s="19"/>
      <c r="R123" s="19"/>
    </row>
    <row r="124" spans="1:18" hidden="1" x14ac:dyDescent="0.25">
      <c r="A124" s="12"/>
      <c r="B124" s="13"/>
      <c r="C124" s="14">
        <v>890470</v>
      </c>
      <c r="D124" s="14" t="s">
        <v>91</v>
      </c>
      <c r="E124" s="15" t="s">
        <v>92</v>
      </c>
      <c r="F124" s="12" t="s">
        <v>93</v>
      </c>
      <c r="G124" s="15" t="s">
        <v>111</v>
      </c>
      <c r="H124" s="14" t="s">
        <v>331</v>
      </c>
      <c r="I124" s="15" t="s">
        <v>332</v>
      </c>
      <c r="J124" s="14">
        <v>2</v>
      </c>
      <c r="K124" s="14">
        <v>5</v>
      </c>
      <c r="L124" s="16">
        <f t="shared" si="26"/>
        <v>10</v>
      </c>
      <c r="M124" s="17">
        <v>46146</v>
      </c>
      <c r="N124" s="17">
        <v>46146</v>
      </c>
      <c r="O124" s="18" t="s">
        <v>18</v>
      </c>
      <c r="P124" s="12">
        <v>19</v>
      </c>
      <c r="Q124" s="19"/>
      <c r="R124" s="19"/>
    </row>
    <row r="125" spans="1:18" hidden="1" x14ac:dyDescent="0.25">
      <c r="A125" s="12"/>
      <c r="B125" s="13"/>
      <c r="C125" s="14">
        <v>893310</v>
      </c>
      <c r="D125" s="14" t="s">
        <v>159</v>
      </c>
      <c r="E125" s="15" t="s">
        <v>160</v>
      </c>
      <c r="F125" s="12" t="s">
        <v>93</v>
      </c>
      <c r="G125" s="15" t="s">
        <v>339</v>
      </c>
      <c r="H125" s="14" t="s">
        <v>122</v>
      </c>
      <c r="I125" s="15" t="s">
        <v>123</v>
      </c>
      <c r="J125" s="14">
        <v>2</v>
      </c>
      <c r="K125" s="14">
        <v>5</v>
      </c>
      <c r="L125" s="16">
        <f t="shared" si="26"/>
        <v>10</v>
      </c>
      <c r="M125" s="17">
        <v>46147</v>
      </c>
      <c r="N125" s="17">
        <v>46147</v>
      </c>
      <c r="O125" s="18" t="s">
        <v>20</v>
      </c>
      <c r="P125" s="12">
        <v>19</v>
      </c>
      <c r="Q125" s="19"/>
      <c r="R125" s="19"/>
    </row>
    <row r="126" spans="1:18" hidden="1" x14ac:dyDescent="0.25">
      <c r="A126" s="12"/>
      <c r="B126" s="13"/>
      <c r="C126" s="14">
        <v>890466</v>
      </c>
      <c r="D126" s="14" t="s">
        <v>91</v>
      </c>
      <c r="E126" s="15" t="s">
        <v>92</v>
      </c>
      <c r="F126" s="12" t="s">
        <v>93</v>
      </c>
      <c r="G126" s="15" t="s">
        <v>111</v>
      </c>
      <c r="H126" s="14" t="s">
        <v>329</v>
      </c>
      <c r="I126" s="15" t="s">
        <v>330</v>
      </c>
      <c r="J126" s="14">
        <v>2</v>
      </c>
      <c r="K126" s="14">
        <v>5</v>
      </c>
      <c r="L126" s="16">
        <f t="shared" si="26"/>
        <v>10</v>
      </c>
      <c r="M126" s="17">
        <v>46147</v>
      </c>
      <c r="N126" s="17">
        <v>46147</v>
      </c>
      <c r="O126" s="18" t="s">
        <v>20</v>
      </c>
      <c r="P126" s="12">
        <v>19</v>
      </c>
      <c r="Q126" s="19"/>
      <c r="R126" s="19"/>
    </row>
    <row r="127" spans="1:18" hidden="1" x14ac:dyDescent="0.25">
      <c r="A127" s="12"/>
      <c r="B127" s="13"/>
      <c r="C127" s="14">
        <v>936914</v>
      </c>
      <c r="D127" s="14" t="s">
        <v>100</v>
      </c>
      <c r="E127" s="15" t="s">
        <v>101</v>
      </c>
      <c r="F127" s="12" t="s">
        <v>103</v>
      </c>
      <c r="G127" s="15" t="s">
        <v>340</v>
      </c>
      <c r="H127" s="14" t="s">
        <v>337</v>
      </c>
      <c r="I127" s="15" t="s">
        <v>341</v>
      </c>
      <c r="J127" s="14">
        <v>2</v>
      </c>
      <c r="K127" s="14">
        <v>10</v>
      </c>
      <c r="L127" s="16">
        <f t="shared" si="26"/>
        <v>20</v>
      </c>
      <c r="M127" s="17">
        <v>46148</v>
      </c>
      <c r="N127" s="17">
        <v>46148</v>
      </c>
      <c r="O127" s="18" t="s">
        <v>23</v>
      </c>
      <c r="P127" s="12">
        <v>19</v>
      </c>
      <c r="Q127" s="19"/>
      <c r="R127" s="19"/>
    </row>
    <row r="128" spans="1:18" hidden="1" x14ac:dyDescent="0.25">
      <c r="A128" s="12"/>
      <c r="B128" s="13"/>
      <c r="C128" s="14">
        <v>919447</v>
      </c>
      <c r="D128" s="14" t="s">
        <v>100</v>
      </c>
      <c r="E128" s="15" t="s">
        <v>101</v>
      </c>
      <c r="F128" s="12" t="s">
        <v>103</v>
      </c>
      <c r="G128" s="15" t="s">
        <v>104</v>
      </c>
      <c r="H128" s="14" t="s">
        <v>218</v>
      </c>
      <c r="I128" s="15" t="s">
        <v>219</v>
      </c>
      <c r="J128" s="14">
        <v>2</v>
      </c>
      <c r="K128" s="14">
        <v>10</v>
      </c>
      <c r="L128" s="16">
        <f t="shared" si="26"/>
        <v>20</v>
      </c>
      <c r="M128" s="17">
        <v>46149</v>
      </c>
      <c r="N128" s="17">
        <v>46149</v>
      </c>
      <c r="O128" s="18" t="s">
        <v>342</v>
      </c>
      <c r="P128" s="12">
        <v>19</v>
      </c>
      <c r="Q128" s="19"/>
      <c r="R128" s="19"/>
    </row>
    <row r="129" spans="1:18" hidden="1" x14ac:dyDescent="0.25">
      <c r="A129" s="12"/>
      <c r="B129" s="13"/>
      <c r="C129" s="14">
        <v>871592</v>
      </c>
      <c r="D129" s="14" t="s">
        <v>100</v>
      </c>
      <c r="E129" s="15" t="s">
        <v>101</v>
      </c>
      <c r="F129" s="12" t="s">
        <v>102</v>
      </c>
      <c r="G129" s="15" t="s">
        <v>338</v>
      </c>
      <c r="H129" s="14" t="s">
        <v>335</v>
      </c>
      <c r="I129" s="15" t="s">
        <v>336</v>
      </c>
      <c r="J129" s="14">
        <v>1</v>
      </c>
      <c r="K129" s="14">
        <v>10</v>
      </c>
      <c r="L129" s="16">
        <f t="shared" si="26"/>
        <v>10</v>
      </c>
      <c r="M129" s="17">
        <v>46181</v>
      </c>
      <c r="N129" s="17">
        <v>46181</v>
      </c>
      <c r="O129" s="18" t="s">
        <v>27</v>
      </c>
      <c r="P129" s="12">
        <v>19</v>
      </c>
      <c r="Q129" s="19"/>
      <c r="R129" s="19"/>
    </row>
    <row r="130" spans="1:18" hidden="1" x14ac:dyDescent="0.25">
      <c r="A130" s="12"/>
      <c r="B130" s="13"/>
      <c r="C130" s="14">
        <v>920105</v>
      </c>
      <c r="D130" s="14" t="s">
        <v>100</v>
      </c>
      <c r="E130" s="15" t="s">
        <v>101</v>
      </c>
      <c r="F130" s="12" t="s">
        <v>102</v>
      </c>
      <c r="G130" s="15" t="s">
        <v>104</v>
      </c>
      <c r="H130" s="14" t="s">
        <v>129</v>
      </c>
      <c r="I130" s="15" t="s">
        <v>130</v>
      </c>
      <c r="J130" s="14">
        <v>1</v>
      </c>
      <c r="K130" s="14">
        <v>10</v>
      </c>
      <c r="L130" s="16">
        <f t="shared" si="26"/>
        <v>10</v>
      </c>
      <c r="M130" s="17">
        <v>46151</v>
      </c>
      <c r="N130" s="17">
        <v>46151</v>
      </c>
      <c r="O130" s="18" t="s">
        <v>30</v>
      </c>
      <c r="P130" s="12">
        <v>19</v>
      </c>
      <c r="Q130" s="19"/>
      <c r="R130" s="19"/>
    </row>
    <row r="131" spans="1:18" hidden="1" x14ac:dyDescent="0.25">
      <c r="A131" s="12"/>
      <c r="B131" s="13"/>
      <c r="C131" s="14">
        <v>890471</v>
      </c>
      <c r="D131" s="14" t="s">
        <v>91</v>
      </c>
      <c r="E131" s="15" t="s">
        <v>92</v>
      </c>
      <c r="F131" s="12" t="s">
        <v>93</v>
      </c>
      <c r="G131" s="15" t="s">
        <v>111</v>
      </c>
      <c r="H131" s="14" t="s">
        <v>333</v>
      </c>
      <c r="I131" s="15" t="s">
        <v>334</v>
      </c>
      <c r="J131" s="14">
        <v>1</v>
      </c>
      <c r="K131" s="14">
        <v>10</v>
      </c>
      <c r="L131" s="16">
        <f t="shared" si="26"/>
        <v>10</v>
      </c>
      <c r="M131" s="17">
        <v>46152</v>
      </c>
      <c r="N131" s="17">
        <v>46152</v>
      </c>
      <c r="O131" s="18" t="s">
        <v>32</v>
      </c>
      <c r="P131" s="12">
        <v>19</v>
      </c>
      <c r="Q131" s="19"/>
      <c r="R131" s="19"/>
    </row>
    <row r="132" spans="1:18" hidden="1" x14ac:dyDescent="0.25">
      <c r="A132" s="5"/>
      <c r="B132" s="6"/>
      <c r="C132" s="7"/>
      <c r="D132" s="7"/>
      <c r="E132" s="8"/>
      <c r="F132" s="7"/>
      <c r="G132" s="8" t="s">
        <v>73</v>
      </c>
      <c r="H132" s="7"/>
      <c r="I132" s="8"/>
      <c r="J132" s="9"/>
      <c r="K132" s="9"/>
      <c r="L132" s="9"/>
      <c r="M132" s="10"/>
      <c r="N132" s="10"/>
      <c r="O132" s="11"/>
      <c r="P132" s="9">
        <v>20</v>
      </c>
      <c r="Q132" s="11"/>
      <c r="R132" s="11"/>
    </row>
    <row r="133" spans="1:18" hidden="1" x14ac:dyDescent="0.25">
      <c r="A133" s="12">
        <v>1</v>
      </c>
      <c r="B133" s="13"/>
      <c r="C133" s="14">
        <v>890456</v>
      </c>
      <c r="D133" s="14" t="s">
        <v>117</v>
      </c>
      <c r="E133" s="15" t="s">
        <v>118</v>
      </c>
      <c r="F133" s="12">
        <v>3</v>
      </c>
      <c r="G133" s="15" t="s">
        <v>111</v>
      </c>
      <c r="H133" s="14" t="s">
        <v>348</v>
      </c>
      <c r="I133" s="15" t="s">
        <v>349</v>
      </c>
      <c r="J133" s="14">
        <v>1</v>
      </c>
      <c r="K133" s="14">
        <v>20</v>
      </c>
      <c r="L133" s="16">
        <f>IF(J133&lt;&gt;"",J133*K133,"")</f>
        <v>20</v>
      </c>
      <c r="M133" s="17">
        <v>46157</v>
      </c>
      <c r="N133" s="17">
        <v>46159</v>
      </c>
      <c r="O133" s="18" t="s">
        <v>353</v>
      </c>
      <c r="P133" s="12">
        <v>20</v>
      </c>
      <c r="Q133" s="19"/>
      <c r="R133" s="19"/>
    </row>
    <row r="134" spans="1:18" hidden="1" x14ac:dyDescent="0.25">
      <c r="A134" s="12">
        <v>2</v>
      </c>
      <c r="B134" s="13"/>
      <c r="C134" s="14">
        <v>890464</v>
      </c>
      <c r="D134" s="14" t="s">
        <v>117</v>
      </c>
      <c r="E134" s="15" t="s">
        <v>118</v>
      </c>
      <c r="F134" s="12">
        <v>3</v>
      </c>
      <c r="G134" s="15" t="s">
        <v>111</v>
      </c>
      <c r="H134" s="14" t="s">
        <v>350</v>
      </c>
      <c r="I134" s="15" t="s">
        <v>351</v>
      </c>
      <c r="J134" s="14">
        <v>1</v>
      </c>
      <c r="K134" s="14">
        <v>20</v>
      </c>
      <c r="L134" s="16">
        <f>IF(J134&lt;&gt;"",J134*K134,"")</f>
        <v>20</v>
      </c>
      <c r="M134" s="17">
        <v>46155</v>
      </c>
      <c r="N134" s="17">
        <v>46156</v>
      </c>
      <c r="O134" s="18" t="s">
        <v>140</v>
      </c>
      <c r="P134" s="12">
        <v>20</v>
      </c>
      <c r="Q134" s="19"/>
      <c r="R134" s="19"/>
    </row>
    <row r="135" spans="1:18" hidden="1" x14ac:dyDescent="0.25">
      <c r="A135" s="12">
        <v>3</v>
      </c>
      <c r="B135" s="13"/>
      <c r="C135" s="14">
        <v>937511</v>
      </c>
      <c r="D135" s="14" t="s">
        <v>119</v>
      </c>
      <c r="E135" s="15" t="s">
        <v>120</v>
      </c>
      <c r="F135" s="12">
        <v>3</v>
      </c>
      <c r="G135" s="15" t="s">
        <v>143</v>
      </c>
      <c r="H135" s="14" t="s">
        <v>343</v>
      </c>
      <c r="I135" s="15" t="s">
        <v>175</v>
      </c>
      <c r="J135" s="14">
        <v>1</v>
      </c>
      <c r="K135" s="14">
        <v>10</v>
      </c>
      <c r="L135" s="16">
        <f t="shared" ref="L135:L137" si="27">IF(J135&lt;&gt;"",J135*K135,"")</f>
        <v>10</v>
      </c>
      <c r="M135" s="17">
        <v>46153</v>
      </c>
      <c r="N135" s="17">
        <v>46158</v>
      </c>
      <c r="O135" s="18" t="s">
        <v>310</v>
      </c>
      <c r="P135" s="12">
        <v>20</v>
      </c>
      <c r="Q135" s="19"/>
      <c r="R135" s="19"/>
    </row>
    <row r="136" spans="1:18" hidden="1" x14ac:dyDescent="0.25">
      <c r="A136" s="12">
        <v>4</v>
      </c>
      <c r="B136" s="13"/>
      <c r="C136" s="14">
        <v>937719</v>
      </c>
      <c r="D136" s="14" t="s">
        <v>127</v>
      </c>
      <c r="E136" s="15" t="s">
        <v>128</v>
      </c>
      <c r="F136" s="12">
        <v>3</v>
      </c>
      <c r="G136" s="15" t="s">
        <v>344</v>
      </c>
      <c r="H136" s="14" t="s">
        <v>134</v>
      </c>
      <c r="I136" s="15" t="s">
        <v>135</v>
      </c>
      <c r="J136" s="14">
        <v>1</v>
      </c>
      <c r="K136" s="14">
        <v>15</v>
      </c>
      <c r="L136" s="16">
        <f t="shared" si="27"/>
        <v>15</v>
      </c>
      <c r="M136" s="17">
        <v>46153</v>
      </c>
      <c r="N136" s="17">
        <v>46154</v>
      </c>
      <c r="O136" s="18" t="s">
        <v>194</v>
      </c>
      <c r="P136" s="12">
        <v>20</v>
      </c>
      <c r="Q136" s="19"/>
      <c r="R136" s="19"/>
    </row>
    <row r="137" spans="1:18" hidden="1" x14ac:dyDescent="0.25">
      <c r="A137" s="12">
        <v>5</v>
      </c>
      <c r="B137" s="13"/>
      <c r="C137" s="14">
        <v>916679</v>
      </c>
      <c r="D137" s="14" t="s">
        <v>127</v>
      </c>
      <c r="E137" s="15" t="s">
        <v>128</v>
      </c>
      <c r="F137" s="12">
        <v>3</v>
      </c>
      <c r="G137" s="15" t="s">
        <v>345</v>
      </c>
      <c r="H137" s="14" t="s">
        <v>346</v>
      </c>
      <c r="I137" s="15" t="s">
        <v>347</v>
      </c>
      <c r="J137" s="12">
        <v>1</v>
      </c>
      <c r="K137" s="12">
        <v>5</v>
      </c>
      <c r="L137" s="16">
        <f t="shared" si="27"/>
        <v>5</v>
      </c>
      <c r="M137" s="17">
        <v>46158</v>
      </c>
      <c r="N137" s="17">
        <v>46158</v>
      </c>
      <c r="O137" s="18" t="s">
        <v>30</v>
      </c>
      <c r="P137" s="12">
        <v>20</v>
      </c>
      <c r="Q137" s="19"/>
      <c r="R137" s="19"/>
    </row>
    <row r="138" spans="1:18" hidden="1" x14ac:dyDescent="0.25">
      <c r="A138" s="5"/>
      <c r="B138" s="6"/>
      <c r="C138" s="7"/>
      <c r="D138" s="7"/>
      <c r="E138" s="8"/>
      <c r="F138" s="7"/>
      <c r="G138" s="8" t="s">
        <v>74</v>
      </c>
      <c r="H138" s="7"/>
      <c r="I138" s="8"/>
      <c r="J138" s="9"/>
      <c r="K138" s="9"/>
      <c r="L138" s="9"/>
      <c r="M138" s="10"/>
      <c r="N138" s="10"/>
      <c r="O138" s="11"/>
      <c r="P138" s="9">
        <v>21</v>
      </c>
      <c r="Q138" s="11"/>
      <c r="R138" s="11"/>
    </row>
    <row r="139" spans="1:18" ht="27" hidden="1" x14ac:dyDescent="0.25">
      <c r="A139" s="12"/>
      <c r="B139" s="13"/>
      <c r="C139" s="121">
        <v>893361</v>
      </c>
      <c r="D139" s="121" t="s">
        <v>159</v>
      </c>
      <c r="E139" s="122" t="s">
        <v>160</v>
      </c>
      <c r="F139" s="123" t="s">
        <v>93</v>
      </c>
      <c r="G139" s="134" t="s">
        <v>364</v>
      </c>
      <c r="H139" s="121" t="s">
        <v>174</v>
      </c>
      <c r="I139" s="15" t="s">
        <v>175</v>
      </c>
      <c r="J139" s="14">
        <v>1</v>
      </c>
      <c r="K139" s="14">
        <v>10</v>
      </c>
      <c r="L139" s="16">
        <v>10</v>
      </c>
      <c r="M139" s="17">
        <v>46160</v>
      </c>
      <c r="N139" s="17">
        <v>46160</v>
      </c>
      <c r="O139" s="18" t="s">
        <v>36</v>
      </c>
      <c r="P139" s="12">
        <v>21</v>
      </c>
      <c r="Q139" s="19"/>
      <c r="R139" s="19"/>
    </row>
    <row r="140" spans="1:18" hidden="1" x14ac:dyDescent="0.25">
      <c r="A140" s="12"/>
      <c r="B140" s="13"/>
      <c r="C140" s="121">
        <v>890522</v>
      </c>
      <c r="D140" s="121" t="s">
        <v>91</v>
      </c>
      <c r="E140" s="122" t="s">
        <v>92</v>
      </c>
      <c r="F140" s="123" t="s">
        <v>93</v>
      </c>
      <c r="G140" s="122" t="s">
        <v>354</v>
      </c>
      <c r="H140" s="121" t="s">
        <v>355</v>
      </c>
      <c r="I140" s="15" t="s">
        <v>356</v>
      </c>
      <c r="J140" s="14">
        <v>1</v>
      </c>
      <c r="K140" s="14">
        <v>10</v>
      </c>
      <c r="L140" s="16">
        <v>10</v>
      </c>
      <c r="M140" s="17">
        <v>46161</v>
      </c>
      <c r="N140" s="17">
        <v>46161</v>
      </c>
      <c r="O140" s="18" t="s">
        <v>48</v>
      </c>
      <c r="P140" s="12">
        <v>21</v>
      </c>
      <c r="Q140" s="19"/>
      <c r="R140" s="19"/>
    </row>
    <row r="141" spans="1:18" hidden="1" x14ac:dyDescent="0.25">
      <c r="A141" s="12"/>
      <c r="B141" s="13"/>
      <c r="C141" s="121">
        <v>890526</v>
      </c>
      <c r="D141" s="121" t="s">
        <v>91</v>
      </c>
      <c r="E141" s="122" t="s">
        <v>92</v>
      </c>
      <c r="F141" s="123" t="s">
        <v>93</v>
      </c>
      <c r="G141" s="122" t="s">
        <v>354</v>
      </c>
      <c r="H141" s="121" t="s">
        <v>357</v>
      </c>
      <c r="I141" s="15" t="s">
        <v>358</v>
      </c>
      <c r="J141" s="14">
        <v>1</v>
      </c>
      <c r="K141" s="14">
        <v>10</v>
      </c>
      <c r="L141" s="16">
        <v>10</v>
      </c>
      <c r="M141" s="17">
        <v>46162</v>
      </c>
      <c r="N141" s="17">
        <v>46163</v>
      </c>
      <c r="O141" s="18" t="s">
        <v>179</v>
      </c>
      <c r="P141" s="12">
        <v>21</v>
      </c>
      <c r="Q141" s="19"/>
      <c r="R141" s="19"/>
    </row>
    <row r="142" spans="1:18" hidden="1" x14ac:dyDescent="0.25">
      <c r="A142" s="12"/>
      <c r="B142" s="13"/>
      <c r="C142" s="121">
        <v>890469</v>
      </c>
      <c r="D142" s="121" t="s">
        <v>91</v>
      </c>
      <c r="E142" s="122" t="s">
        <v>92</v>
      </c>
      <c r="F142" s="123" t="s">
        <v>93</v>
      </c>
      <c r="G142" s="122" t="s">
        <v>111</v>
      </c>
      <c r="H142" s="121" t="s">
        <v>360</v>
      </c>
      <c r="I142" s="15" t="s">
        <v>361</v>
      </c>
      <c r="J142" s="14">
        <v>2</v>
      </c>
      <c r="K142" s="14">
        <v>10</v>
      </c>
      <c r="L142" s="16">
        <f>IF(J142&lt;&gt;"",J142*K142,"")</f>
        <v>20</v>
      </c>
      <c r="M142" s="17">
        <v>46164</v>
      </c>
      <c r="N142" s="17">
        <v>46164</v>
      </c>
      <c r="O142" s="18" t="s">
        <v>51</v>
      </c>
      <c r="P142" s="12">
        <v>21</v>
      </c>
      <c r="Q142" s="19"/>
      <c r="R142" s="19"/>
    </row>
    <row r="143" spans="1:18" hidden="1" x14ac:dyDescent="0.25">
      <c r="A143" s="12"/>
      <c r="B143" s="13"/>
      <c r="C143" s="121">
        <v>890472</v>
      </c>
      <c r="D143" s="121" t="s">
        <v>91</v>
      </c>
      <c r="E143" s="122" t="s">
        <v>92</v>
      </c>
      <c r="F143" s="123" t="s">
        <v>93</v>
      </c>
      <c r="G143" s="122" t="s">
        <v>111</v>
      </c>
      <c r="H143" s="121" t="s">
        <v>362</v>
      </c>
      <c r="I143" s="15" t="s">
        <v>363</v>
      </c>
      <c r="J143" s="14">
        <v>2</v>
      </c>
      <c r="K143" s="14">
        <v>10</v>
      </c>
      <c r="L143" s="16">
        <f t="shared" ref="L143" si="28">IF(J143&lt;&gt;"",J143*K143,"")</f>
        <v>20</v>
      </c>
      <c r="M143" s="17">
        <v>46165</v>
      </c>
      <c r="N143" s="17">
        <v>46165</v>
      </c>
      <c r="O143" s="18" t="s">
        <v>52</v>
      </c>
      <c r="P143" s="12">
        <v>21</v>
      </c>
      <c r="Q143" s="19"/>
      <c r="R143" s="19"/>
    </row>
    <row r="144" spans="1:18" hidden="1" x14ac:dyDescent="0.25">
      <c r="A144" s="12"/>
      <c r="B144" s="13"/>
      <c r="C144" s="121">
        <v>938550</v>
      </c>
      <c r="D144" s="121" t="s">
        <v>100</v>
      </c>
      <c r="E144" s="122" t="s">
        <v>101</v>
      </c>
      <c r="F144" s="123"/>
      <c r="G144" s="122" t="s">
        <v>359</v>
      </c>
      <c r="H144" s="121" t="s">
        <v>134</v>
      </c>
      <c r="I144" s="15" t="s">
        <v>135</v>
      </c>
      <c r="J144" s="14">
        <v>2</v>
      </c>
      <c r="K144" s="14">
        <v>10</v>
      </c>
      <c r="L144" s="16">
        <f t="shared" ref="L144" si="29">IF(J144&lt;&gt;"",J144*K144,"")</f>
        <v>20</v>
      </c>
      <c r="M144" s="17">
        <v>46166</v>
      </c>
      <c r="N144" s="17">
        <v>46166</v>
      </c>
      <c r="O144" s="18" t="s">
        <v>53</v>
      </c>
      <c r="P144" s="12">
        <v>21</v>
      </c>
      <c r="Q144" s="19"/>
      <c r="R144" s="19"/>
    </row>
    <row r="145" spans="1:18" x14ac:dyDescent="0.25">
      <c r="A145" s="5"/>
      <c r="B145" s="6"/>
      <c r="C145" s="7"/>
      <c r="D145" s="7"/>
      <c r="E145" s="8"/>
      <c r="F145" s="7"/>
      <c r="G145" s="8" t="s">
        <v>75</v>
      </c>
      <c r="H145" s="7"/>
      <c r="I145" s="8"/>
      <c r="J145" s="9"/>
      <c r="K145" s="9"/>
      <c r="L145" s="9"/>
      <c r="M145" s="10"/>
      <c r="N145" s="10"/>
      <c r="O145" s="11"/>
      <c r="P145" s="9">
        <v>22</v>
      </c>
      <c r="Q145" s="11"/>
      <c r="R145" s="11"/>
    </row>
    <row r="146" spans="1:18" x14ac:dyDescent="0.25">
      <c r="A146" s="12"/>
      <c r="B146" s="13"/>
      <c r="C146" s="121">
        <v>890470</v>
      </c>
      <c r="D146" s="121" t="s">
        <v>91</v>
      </c>
      <c r="E146" s="122" t="s">
        <v>92</v>
      </c>
      <c r="F146" s="123" t="s">
        <v>93</v>
      </c>
      <c r="G146" s="122" t="s">
        <v>111</v>
      </c>
      <c r="H146" s="121" t="s">
        <v>331</v>
      </c>
      <c r="I146" s="122" t="s">
        <v>332</v>
      </c>
      <c r="J146" s="121">
        <v>2</v>
      </c>
      <c r="K146" s="121">
        <v>10</v>
      </c>
      <c r="L146" s="124">
        <f>J146*K146</f>
        <v>20</v>
      </c>
      <c r="M146" s="125">
        <v>46167</v>
      </c>
      <c r="N146" s="125">
        <v>46167</v>
      </c>
      <c r="O146" s="18" t="s">
        <v>36</v>
      </c>
      <c r="P146" s="12">
        <v>22</v>
      </c>
      <c r="Q146" s="14"/>
      <c r="R146" s="14"/>
    </row>
    <row r="147" spans="1:18" x14ac:dyDescent="0.25">
      <c r="A147" s="12"/>
      <c r="B147" s="13"/>
      <c r="C147" s="121">
        <v>890483</v>
      </c>
      <c r="D147" s="121" t="s">
        <v>91</v>
      </c>
      <c r="E147" s="122" t="s">
        <v>92</v>
      </c>
      <c r="F147" s="123" t="s">
        <v>93</v>
      </c>
      <c r="G147" s="122" t="s">
        <v>111</v>
      </c>
      <c r="H147" s="121" t="s">
        <v>365</v>
      </c>
      <c r="I147" s="122" t="s">
        <v>366</v>
      </c>
      <c r="J147" s="121">
        <v>2</v>
      </c>
      <c r="K147" s="121">
        <v>20</v>
      </c>
      <c r="L147" s="124">
        <f t="shared" ref="L147:L154" si="30">J147*K147</f>
        <v>40</v>
      </c>
      <c r="M147" s="125">
        <v>46168</v>
      </c>
      <c r="N147" s="17">
        <v>46169</v>
      </c>
      <c r="O147" s="18" t="s">
        <v>325</v>
      </c>
      <c r="P147" s="12">
        <v>22</v>
      </c>
      <c r="Q147" s="14"/>
      <c r="R147" s="14"/>
    </row>
    <row r="148" spans="1:18" x14ac:dyDescent="0.25">
      <c r="A148" s="12"/>
      <c r="B148" s="13"/>
      <c r="C148" s="121">
        <v>916726</v>
      </c>
      <c r="D148" s="121" t="s">
        <v>100</v>
      </c>
      <c r="E148" s="122" t="s">
        <v>101</v>
      </c>
      <c r="F148" s="123" t="s">
        <v>103</v>
      </c>
      <c r="G148" s="122" t="s">
        <v>104</v>
      </c>
      <c r="H148" s="121" t="s">
        <v>145</v>
      </c>
      <c r="I148" s="122" t="s">
        <v>146</v>
      </c>
      <c r="J148" s="121">
        <v>2</v>
      </c>
      <c r="K148" s="121">
        <v>5</v>
      </c>
      <c r="L148" s="124">
        <f t="shared" si="30"/>
        <v>10</v>
      </c>
      <c r="M148" s="125">
        <v>46170</v>
      </c>
      <c r="N148" s="125">
        <v>46170</v>
      </c>
      <c r="O148" s="18" t="s">
        <v>50</v>
      </c>
      <c r="P148" s="12">
        <v>22</v>
      </c>
      <c r="Q148" s="14"/>
      <c r="R148" s="14"/>
    </row>
    <row r="149" spans="1:18" x14ac:dyDescent="0.25">
      <c r="A149" s="12"/>
      <c r="B149" s="13"/>
      <c r="C149" s="121">
        <v>920950</v>
      </c>
      <c r="D149" s="121" t="s">
        <v>100</v>
      </c>
      <c r="E149" s="122" t="s">
        <v>101</v>
      </c>
      <c r="F149" s="123" t="s">
        <v>103</v>
      </c>
      <c r="G149" s="122" t="s">
        <v>104</v>
      </c>
      <c r="H149" s="121" t="s">
        <v>367</v>
      </c>
      <c r="I149" s="122" t="s">
        <v>368</v>
      </c>
      <c r="J149" s="121">
        <v>2</v>
      </c>
      <c r="K149" s="121">
        <v>5</v>
      </c>
      <c r="L149" s="124">
        <f t="shared" si="30"/>
        <v>10</v>
      </c>
      <c r="M149" s="125">
        <v>46170</v>
      </c>
      <c r="N149" s="125">
        <v>46170</v>
      </c>
      <c r="O149" s="18" t="s">
        <v>50</v>
      </c>
      <c r="P149" s="12">
        <v>22</v>
      </c>
      <c r="Q149" s="14"/>
      <c r="R149" s="14"/>
    </row>
    <row r="150" spans="1:18" x14ac:dyDescent="0.25">
      <c r="A150" s="12"/>
      <c r="B150" s="13"/>
      <c r="C150" s="121">
        <v>922080</v>
      </c>
      <c r="D150" s="121" t="s">
        <v>100</v>
      </c>
      <c r="E150" s="122" t="s">
        <v>101</v>
      </c>
      <c r="F150" s="123" t="s">
        <v>102</v>
      </c>
      <c r="G150" s="122" t="s">
        <v>104</v>
      </c>
      <c r="H150" s="121" t="s">
        <v>108</v>
      </c>
      <c r="I150" s="122" t="s">
        <v>109</v>
      </c>
      <c r="J150" s="121">
        <v>1</v>
      </c>
      <c r="K150" s="121">
        <v>5</v>
      </c>
      <c r="L150" s="124">
        <f t="shared" si="30"/>
        <v>5</v>
      </c>
      <c r="M150" s="125">
        <v>46171</v>
      </c>
      <c r="N150" s="125">
        <v>46171</v>
      </c>
      <c r="O150" s="18" t="s">
        <v>51</v>
      </c>
      <c r="P150" s="12">
        <v>22</v>
      </c>
      <c r="Q150" s="14"/>
      <c r="R150" s="14"/>
    </row>
    <row r="151" spans="1:18" x14ac:dyDescent="0.25">
      <c r="A151" s="12"/>
      <c r="B151" s="13"/>
      <c r="C151" s="121">
        <v>925336</v>
      </c>
      <c r="D151" s="121" t="s">
        <v>100</v>
      </c>
      <c r="E151" s="122" t="s">
        <v>101</v>
      </c>
      <c r="F151" s="123" t="s">
        <v>102</v>
      </c>
      <c r="G151" s="122" t="s">
        <v>104</v>
      </c>
      <c r="H151" s="121" t="s">
        <v>369</v>
      </c>
      <c r="I151" s="122" t="s">
        <v>370</v>
      </c>
      <c r="J151" s="121">
        <v>1</v>
      </c>
      <c r="K151" s="121">
        <v>5</v>
      </c>
      <c r="L151" s="124">
        <f t="shared" si="30"/>
        <v>5</v>
      </c>
      <c r="M151" s="125">
        <v>46171</v>
      </c>
      <c r="N151" s="125">
        <v>46171</v>
      </c>
      <c r="O151" s="18" t="s">
        <v>51</v>
      </c>
      <c r="P151" s="12">
        <v>22</v>
      </c>
      <c r="Q151" s="14"/>
      <c r="R151" s="14"/>
    </row>
    <row r="152" spans="1:18" x14ac:dyDescent="0.25">
      <c r="A152" s="12"/>
      <c r="B152" s="13"/>
      <c r="C152" s="121">
        <v>931859</v>
      </c>
      <c r="D152" s="121" t="s">
        <v>100</v>
      </c>
      <c r="E152" s="122" t="s">
        <v>101</v>
      </c>
      <c r="F152" s="123" t="s">
        <v>103</v>
      </c>
      <c r="G152" s="122" t="s">
        <v>104</v>
      </c>
      <c r="H152" s="121" t="s">
        <v>253</v>
      </c>
      <c r="I152" s="122" t="s">
        <v>254</v>
      </c>
      <c r="J152" s="121">
        <v>1</v>
      </c>
      <c r="K152" s="121">
        <v>5</v>
      </c>
      <c r="L152" s="124">
        <f t="shared" si="30"/>
        <v>5</v>
      </c>
      <c r="M152" s="125">
        <v>46172</v>
      </c>
      <c r="N152" s="125">
        <v>46172</v>
      </c>
      <c r="O152" s="18" t="s">
        <v>52</v>
      </c>
      <c r="P152" s="12">
        <v>22</v>
      </c>
      <c r="Q152" s="14"/>
      <c r="R152" s="14"/>
    </row>
    <row r="153" spans="1:18" x14ac:dyDescent="0.25">
      <c r="A153" s="12"/>
      <c r="B153" s="13"/>
      <c r="C153" s="121">
        <v>933590</v>
      </c>
      <c r="D153" s="121" t="s">
        <v>100</v>
      </c>
      <c r="E153" s="122" t="s">
        <v>101</v>
      </c>
      <c r="F153" s="123" t="s">
        <v>102</v>
      </c>
      <c r="G153" s="122" t="s">
        <v>104</v>
      </c>
      <c r="H153" s="121" t="s">
        <v>239</v>
      </c>
      <c r="I153" s="122" t="s">
        <v>240</v>
      </c>
      <c r="J153" s="121">
        <v>1</v>
      </c>
      <c r="K153" s="121">
        <v>5</v>
      </c>
      <c r="L153" s="124">
        <f t="shared" si="30"/>
        <v>5</v>
      </c>
      <c r="M153" s="125">
        <v>46172</v>
      </c>
      <c r="N153" s="125">
        <v>46172</v>
      </c>
      <c r="O153" s="18" t="s">
        <v>52</v>
      </c>
      <c r="P153" s="12">
        <v>22</v>
      </c>
      <c r="Q153" s="14"/>
      <c r="R153" s="14"/>
    </row>
    <row r="154" spans="1:18" x14ac:dyDescent="0.25">
      <c r="A154" s="12"/>
      <c r="B154" s="13"/>
      <c r="C154" s="121">
        <v>933594</v>
      </c>
      <c r="D154" s="121" t="s">
        <v>100</v>
      </c>
      <c r="E154" s="122" t="s">
        <v>101</v>
      </c>
      <c r="F154" s="123" t="s">
        <v>102</v>
      </c>
      <c r="G154" s="122" t="s">
        <v>104</v>
      </c>
      <c r="H154" s="121" t="s">
        <v>371</v>
      </c>
      <c r="I154" s="122" t="s">
        <v>372</v>
      </c>
      <c r="J154" s="121">
        <v>1</v>
      </c>
      <c r="K154" s="121">
        <v>10</v>
      </c>
      <c r="L154" s="124">
        <f t="shared" si="30"/>
        <v>10</v>
      </c>
      <c r="M154" s="125">
        <v>46173</v>
      </c>
      <c r="N154" s="125">
        <v>46173</v>
      </c>
      <c r="O154" s="18" t="s">
        <v>53</v>
      </c>
      <c r="P154" s="12">
        <v>22</v>
      </c>
      <c r="Q154" s="14"/>
      <c r="R154" s="14"/>
    </row>
    <row r="155" spans="1:18" x14ac:dyDescent="0.25">
      <c r="A155" s="12"/>
      <c r="B155" s="13"/>
      <c r="C155" s="14"/>
      <c r="D155" s="14"/>
      <c r="E155" s="15"/>
      <c r="F155" s="12"/>
      <c r="G155" s="15"/>
      <c r="H155" s="14"/>
      <c r="I155" s="15"/>
      <c r="J155" s="14"/>
      <c r="K155" s="14"/>
      <c r="L155" s="16" t="str">
        <f>IF(J155&lt;&gt;"",J155*K155,"")</f>
        <v/>
      </c>
      <c r="M155" s="17"/>
      <c r="N155" s="17"/>
      <c r="O155" s="18"/>
      <c r="P155" s="12">
        <v>22</v>
      </c>
      <c r="Q155" s="19"/>
      <c r="R155" s="19"/>
    </row>
    <row r="156" spans="1:18" x14ac:dyDescent="0.25">
      <c r="A156" s="12"/>
      <c r="B156" s="13"/>
      <c r="C156" s="14"/>
      <c r="D156" s="14"/>
      <c r="E156" s="15"/>
      <c r="F156" s="12"/>
      <c r="G156" s="15"/>
      <c r="H156" s="14"/>
      <c r="I156" s="15"/>
      <c r="J156" s="14"/>
      <c r="K156" s="14"/>
      <c r="L156" s="16" t="str">
        <f t="shared" ref="L156:L157" si="31">IF(J156&lt;&gt;"",J156*K156,"")</f>
        <v/>
      </c>
      <c r="M156" s="17"/>
      <c r="N156" s="17"/>
      <c r="O156" s="18"/>
      <c r="P156" s="12">
        <v>22</v>
      </c>
      <c r="Q156" s="19"/>
      <c r="R156" s="19"/>
    </row>
    <row r="157" spans="1:18" x14ac:dyDescent="0.25">
      <c r="A157" s="12"/>
      <c r="B157" s="13"/>
      <c r="C157" s="14"/>
      <c r="D157" s="14"/>
      <c r="E157" s="15"/>
      <c r="F157" s="12"/>
      <c r="G157" s="15"/>
      <c r="H157" s="14"/>
      <c r="I157" s="15"/>
      <c r="J157" s="14"/>
      <c r="K157" s="14"/>
      <c r="L157" s="16" t="str">
        <f t="shared" si="31"/>
        <v/>
      </c>
      <c r="M157" s="17"/>
      <c r="N157" s="17"/>
      <c r="O157" s="18"/>
      <c r="P157" s="12">
        <v>22</v>
      </c>
      <c r="Q157" s="19"/>
      <c r="R157" s="19"/>
    </row>
    <row r="158" spans="1:18" hidden="1" x14ac:dyDescent="0.25">
      <c r="A158" s="5"/>
      <c r="B158" s="6"/>
      <c r="C158" s="7"/>
      <c r="D158" s="7"/>
      <c r="E158" s="8"/>
      <c r="F158" s="7"/>
      <c r="G158" s="8" t="s">
        <v>76</v>
      </c>
      <c r="H158" s="7"/>
      <c r="I158" s="8"/>
      <c r="J158" s="9"/>
      <c r="K158" s="9"/>
      <c r="L158" s="9"/>
      <c r="M158" s="10"/>
      <c r="N158" s="10"/>
      <c r="O158" s="11"/>
      <c r="P158" s="9">
        <v>23</v>
      </c>
      <c r="Q158" s="11"/>
      <c r="R158" s="11"/>
    </row>
    <row r="159" spans="1:18" hidden="1" x14ac:dyDescent="0.25">
      <c r="A159" s="12"/>
      <c r="B159" s="13"/>
      <c r="C159" s="14"/>
      <c r="D159" s="14"/>
      <c r="E159" s="15"/>
      <c r="F159" s="12"/>
      <c r="G159" s="15"/>
      <c r="H159" s="14"/>
      <c r="I159" s="15"/>
      <c r="J159" s="14"/>
      <c r="K159" s="14"/>
      <c r="L159" s="16" t="str">
        <f t="shared" ref="L159:L163" si="32">IF(J159&lt;&gt;"",J159*K159,"")</f>
        <v/>
      </c>
      <c r="M159" s="17"/>
      <c r="N159" s="17"/>
      <c r="O159" s="18"/>
      <c r="P159" s="12">
        <v>23</v>
      </c>
      <c r="Q159" s="19"/>
      <c r="R159" s="19"/>
    </row>
    <row r="160" spans="1:18" hidden="1" x14ac:dyDescent="0.25">
      <c r="A160" s="12"/>
      <c r="B160" s="13"/>
      <c r="C160" s="14"/>
      <c r="D160" s="14"/>
      <c r="E160" s="15"/>
      <c r="F160" s="12"/>
      <c r="G160" s="15"/>
      <c r="H160" s="14"/>
      <c r="I160" s="15"/>
      <c r="J160" s="14"/>
      <c r="K160" s="14"/>
      <c r="L160" s="16" t="str">
        <f t="shared" si="32"/>
        <v/>
      </c>
      <c r="M160" s="17"/>
      <c r="N160" s="17"/>
      <c r="O160" s="18"/>
      <c r="P160" s="12">
        <v>23</v>
      </c>
      <c r="Q160" s="19"/>
      <c r="R160" s="19"/>
    </row>
    <row r="161" spans="1:18" hidden="1" x14ac:dyDescent="0.25">
      <c r="A161" s="12"/>
      <c r="B161" s="13"/>
      <c r="C161" s="14"/>
      <c r="D161" s="14"/>
      <c r="E161" s="15"/>
      <c r="F161" s="12"/>
      <c r="G161" s="15"/>
      <c r="H161" s="14"/>
      <c r="I161" s="15"/>
      <c r="J161" s="12"/>
      <c r="K161" s="12"/>
      <c r="L161" s="16" t="str">
        <f t="shared" si="32"/>
        <v/>
      </c>
      <c r="M161" s="17"/>
      <c r="N161" s="17"/>
      <c r="O161" s="18"/>
      <c r="P161" s="12">
        <v>23</v>
      </c>
      <c r="Q161" s="19"/>
      <c r="R161" s="19"/>
    </row>
    <row r="162" spans="1:18" hidden="1" x14ac:dyDescent="0.25">
      <c r="A162" s="12"/>
      <c r="B162" s="13"/>
      <c r="C162" s="14"/>
      <c r="D162" s="14"/>
      <c r="E162" s="15"/>
      <c r="F162" s="12"/>
      <c r="G162" s="15"/>
      <c r="H162" s="14"/>
      <c r="I162" s="15"/>
      <c r="J162" s="14"/>
      <c r="K162" s="14"/>
      <c r="L162" s="16" t="str">
        <f t="shared" si="32"/>
        <v/>
      </c>
      <c r="M162" s="17"/>
      <c r="N162" s="17"/>
      <c r="O162" s="18"/>
      <c r="P162" s="12">
        <v>23</v>
      </c>
      <c r="Q162" s="19"/>
      <c r="R162" s="19"/>
    </row>
    <row r="163" spans="1:18" hidden="1" x14ac:dyDescent="0.25">
      <c r="A163" s="12"/>
      <c r="B163" s="13"/>
      <c r="C163" s="14"/>
      <c r="D163" s="14"/>
      <c r="E163" s="15"/>
      <c r="F163" s="12"/>
      <c r="G163" s="15"/>
      <c r="H163" s="14"/>
      <c r="I163" s="15"/>
      <c r="J163" s="14"/>
      <c r="K163" s="14"/>
      <c r="L163" s="16" t="str">
        <f t="shared" si="32"/>
        <v/>
      </c>
      <c r="M163" s="17"/>
      <c r="N163" s="17"/>
      <c r="O163" s="18"/>
      <c r="P163" s="12">
        <v>23</v>
      </c>
      <c r="Q163" s="19"/>
      <c r="R163" s="19"/>
    </row>
    <row r="164" spans="1:18" hidden="1" x14ac:dyDescent="0.25">
      <c r="A164" s="12"/>
      <c r="B164" s="13"/>
      <c r="C164" s="14"/>
      <c r="D164" s="14"/>
      <c r="E164" s="15"/>
      <c r="F164" s="12"/>
      <c r="G164" s="15"/>
      <c r="H164" s="14"/>
      <c r="I164" s="15"/>
      <c r="J164" s="14"/>
      <c r="K164" s="14"/>
      <c r="L164" s="16" t="str">
        <f>IF(J164&lt;&gt;"",J164*K164,"")</f>
        <v/>
      </c>
      <c r="M164" s="17"/>
      <c r="N164" s="17"/>
      <c r="O164" s="18"/>
      <c r="P164" s="12">
        <v>23</v>
      </c>
      <c r="Q164" s="19"/>
      <c r="R164" s="19"/>
    </row>
    <row r="165" spans="1:18" hidden="1" x14ac:dyDescent="0.25">
      <c r="A165" s="12"/>
      <c r="B165" s="13"/>
      <c r="C165" s="14"/>
      <c r="D165" s="14"/>
      <c r="E165" s="15"/>
      <c r="F165" s="12"/>
      <c r="G165" s="15"/>
      <c r="H165" s="14"/>
      <c r="I165" s="15"/>
      <c r="J165" s="14"/>
      <c r="K165" s="14"/>
      <c r="L165" s="16" t="str">
        <f t="shared" ref="L165:L166" si="33">IF(J165&lt;&gt;"",J165*K165,"")</f>
        <v/>
      </c>
      <c r="M165" s="17"/>
      <c r="N165" s="17"/>
      <c r="O165" s="18"/>
      <c r="P165" s="12">
        <v>23</v>
      </c>
      <c r="Q165" s="19"/>
      <c r="R165" s="19"/>
    </row>
    <row r="166" spans="1:18" hidden="1" x14ac:dyDescent="0.25">
      <c r="A166" s="12"/>
      <c r="B166" s="13"/>
      <c r="C166" s="14"/>
      <c r="D166" s="14"/>
      <c r="E166" s="15"/>
      <c r="F166" s="12"/>
      <c r="G166" s="15"/>
      <c r="H166" s="14"/>
      <c r="I166" s="15"/>
      <c r="J166" s="14"/>
      <c r="K166" s="14"/>
      <c r="L166" s="16" t="str">
        <f t="shared" si="33"/>
        <v/>
      </c>
      <c r="M166" s="17"/>
      <c r="N166" s="17"/>
      <c r="O166" s="18"/>
      <c r="P166" s="12">
        <v>23</v>
      </c>
      <c r="Q166" s="19"/>
      <c r="R166" s="19"/>
    </row>
    <row r="167" spans="1:18" hidden="1" x14ac:dyDescent="0.25">
      <c r="A167" s="5"/>
      <c r="B167" s="6"/>
      <c r="C167" s="7"/>
      <c r="D167" s="7"/>
      <c r="E167" s="8"/>
      <c r="F167" s="7"/>
      <c r="G167" s="8" t="s">
        <v>77</v>
      </c>
      <c r="H167" s="7"/>
      <c r="I167" s="8"/>
      <c r="J167" s="9"/>
      <c r="K167" s="9"/>
      <c r="L167" s="9"/>
      <c r="M167" s="10"/>
      <c r="N167" s="10"/>
      <c r="O167" s="11"/>
      <c r="P167" s="9">
        <v>24</v>
      </c>
      <c r="Q167" s="11"/>
      <c r="R167" s="11"/>
    </row>
    <row r="168" spans="1:18" hidden="1" x14ac:dyDescent="0.25">
      <c r="A168" s="12"/>
      <c r="B168" s="13"/>
      <c r="C168" s="14"/>
      <c r="D168" s="14"/>
      <c r="E168" s="15"/>
      <c r="F168" s="12"/>
      <c r="G168" s="15"/>
      <c r="H168" s="14"/>
      <c r="I168" s="15"/>
      <c r="J168" s="14"/>
      <c r="K168" s="14"/>
      <c r="L168" s="16" t="str">
        <f t="shared" ref="L168:L172" si="34">IF(J168&lt;&gt;"",J168*K168,"")</f>
        <v/>
      </c>
      <c r="M168" s="17"/>
      <c r="N168" s="17"/>
      <c r="O168" s="18"/>
      <c r="P168" s="12">
        <v>24</v>
      </c>
      <c r="Q168" s="19"/>
      <c r="R168" s="19"/>
    </row>
    <row r="169" spans="1:18" hidden="1" x14ac:dyDescent="0.25">
      <c r="A169" s="12"/>
      <c r="B169" s="13"/>
      <c r="C169" s="14"/>
      <c r="D169" s="14"/>
      <c r="E169" s="15"/>
      <c r="F169" s="12"/>
      <c r="G169" s="15"/>
      <c r="H169" s="14"/>
      <c r="I169" s="15"/>
      <c r="J169" s="14"/>
      <c r="K169" s="14"/>
      <c r="L169" s="16" t="str">
        <f t="shared" si="34"/>
        <v/>
      </c>
      <c r="M169" s="17"/>
      <c r="N169" s="17"/>
      <c r="O169" s="18"/>
      <c r="P169" s="12">
        <v>24</v>
      </c>
      <c r="Q169" s="19"/>
      <c r="R169" s="19"/>
    </row>
    <row r="170" spans="1:18" hidden="1" x14ac:dyDescent="0.25">
      <c r="A170" s="12"/>
      <c r="B170" s="13"/>
      <c r="C170" s="14"/>
      <c r="D170" s="14"/>
      <c r="E170" s="15"/>
      <c r="F170" s="12"/>
      <c r="G170" s="15"/>
      <c r="H170" s="14"/>
      <c r="I170" s="15"/>
      <c r="J170" s="12"/>
      <c r="K170" s="12"/>
      <c r="L170" s="16" t="str">
        <f t="shared" si="34"/>
        <v/>
      </c>
      <c r="M170" s="17"/>
      <c r="N170" s="17"/>
      <c r="O170" s="18"/>
      <c r="P170" s="12">
        <v>24</v>
      </c>
      <c r="Q170" s="19"/>
      <c r="R170" s="19"/>
    </row>
    <row r="171" spans="1:18" hidden="1" x14ac:dyDescent="0.25">
      <c r="A171" s="12"/>
      <c r="B171" s="13"/>
      <c r="C171" s="14"/>
      <c r="D171" s="14"/>
      <c r="E171" s="15"/>
      <c r="F171" s="12"/>
      <c r="G171" s="15"/>
      <c r="H171" s="14"/>
      <c r="I171" s="15"/>
      <c r="J171" s="14"/>
      <c r="K171" s="14"/>
      <c r="L171" s="16" t="str">
        <f t="shared" si="34"/>
        <v/>
      </c>
      <c r="M171" s="17"/>
      <c r="N171" s="17"/>
      <c r="O171" s="18"/>
      <c r="P171" s="12">
        <v>24</v>
      </c>
      <c r="Q171" s="19"/>
      <c r="R171" s="19"/>
    </row>
    <row r="172" spans="1:18" hidden="1" x14ac:dyDescent="0.25">
      <c r="A172" s="12"/>
      <c r="B172" s="13"/>
      <c r="C172" s="14"/>
      <c r="D172" s="14"/>
      <c r="E172" s="15"/>
      <c r="F172" s="12"/>
      <c r="G172" s="15"/>
      <c r="H172" s="14"/>
      <c r="I172" s="15"/>
      <c r="J172" s="14"/>
      <c r="K172" s="14"/>
      <c r="L172" s="16" t="str">
        <f t="shared" si="34"/>
        <v/>
      </c>
      <c r="M172" s="17"/>
      <c r="N172" s="17"/>
      <c r="O172" s="18"/>
      <c r="P172" s="12">
        <v>24</v>
      </c>
      <c r="Q172" s="19"/>
      <c r="R172" s="19"/>
    </row>
    <row r="173" spans="1:18" hidden="1" x14ac:dyDescent="0.25">
      <c r="A173" s="12"/>
      <c r="B173" s="13"/>
      <c r="C173" s="14"/>
      <c r="D173" s="14"/>
      <c r="E173" s="15"/>
      <c r="F173" s="12"/>
      <c r="G173" s="15"/>
      <c r="H173" s="14"/>
      <c r="I173" s="15"/>
      <c r="J173" s="14"/>
      <c r="K173" s="14"/>
      <c r="L173" s="16" t="str">
        <f>IF(J173&lt;&gt;"",J173*K173,"")</f>
        <v/>
      </c>
      <c r="M173" s="17"/>
      <c r="N173" s="17"/>
      <c r="O173" s="18"/>
      <c r="P173" s="12">
        <v>24</v>
      </c>
      <c r="Q173" s="19"/>
      <c r="R173" s="19"/>
    </row>
    <row r="174" spans="1:18" hidden="1" x14ac:dyDescent="0.25">
      <c r="A174" s="12"/>
      <c r="B174" s="13"/>
      <c r="C174" s="14"/>
      <c r="D174" s="14"/>
      <c r="E174" s="15"/>
      <c r="F174" s="12"/>
      <c r="G174" s="15"/>
      <c r="H174" s="14"/>
      <c r="I174" s="15"/>
      <c r="J174" s="14"/>
      <c r="K174" s="14"/>
      <c r="L174" s="16" t="str">
        <f t="shared" ref="L174:L175" si="35">IF(J174&lt;&gt;"",J174*K174,"")</f>
        <v/>
      </c>
      <c r="M174" s="17"/>
      <c r="N174" s="17"/>
      <c r="O174" s="18"/>
      <c r="P174" s="12">
        <v>24</v>
      </c>
      <c r="Q174" s="19"/>
      <c r="R174" s="19"/>
    </row>
    <row r="175" spans="1:18" hidden="1" x14ac:dyDescent="0.25">
      <c r="A175" s="12"/>
      <c r="B175" s="13"/>
      <c r="C175" s="14"/>
      <c r="D175" s="14"/>
      <c r="E175" s="15"/>
      <c r="F175" s="12"/>
      <c r="G175" s="15"/>
      <c r="H175" s="14"/>
      <c r="I175" s="15"/>
      <c r="J175" s="14"/>
      <c r="K175" s="14"/>
      <c r="L175" s="16" t="str">
        <f t="shared" si="35"/>
        <v/>
      </c>
      <c r="M175" s="17"/>
      <c r="N175" s="17"/>
      <c r="O175" s="18"/>
      <c r="P175" s="12">
        <v>24</v>
      </c>
      <c r="Q175" s="19"/>
      <c r="R175" s="19"/>
    </row>
    <row r="176" spans="1:18" hidden="1" x14ac:dyDescent="0.25">
      <c r="A176" s="5"/>
      <c r="B176" s="6"/>
      <c r="C176" s="7"/>
      <c r="D176" s="7"/>
      <c r="E176" s="8"/>
      <c r="F176" s="7"/>
      <c r="G176" s="8" t="s">
        <v>78</v>
      </c>
      <c r="H176" s="7"/>
      <c r="I176" s="8"/>
      <c r="J176" s="9"/>
      <c r="K176" s="9"/>
      <c r="L176" s="9"/>
      <c r="M176" s="10"/>
      <c r="N176" s="10"/>
      <c r="O176" s="11"/>
      <c r="P176" s="9">
        <v>25</v>
      </c>
      <c r="Q176" s="11"/>
      <c r="R176" s="11"/>
    </row>
    <row r="177" spans="1:18" hidden="1" x14ac:dyDescent="0.25">
      <c r="A177" s="12"/>
      <c r="B177" s="13"/>
      <c r="C177" s="14"/>
      <c r="D177" s="14"/>
      <c r="E177" s="15"/>
      <c r="F177" s="12"/>
      <c r="G177" s="15"/>
      <c r="H177" s="14"/>
      <c r="I177" s="15"/>
      <c r="J177" s="14"/>
      <c r="K177" s="14"/>
      <c r="L177" s="16" t="str">
        <f t="shared" ref="L177:L181" si="36">IF(J177&lt;&gt;"",J177*K177,"")</f>
        <v/>
      </c>
      <c r="M177" s="17"/>
      <c r="N177" s="17"/>
      <c r="O177" s="18"/>
      <c r="P177" s="12">
        <v>25</v>
      </c>
      <c r="Q177" s="19"/>
      <c r="R177" s="19"/>
    </row>
    <row r="178" spans="1:18" hidden="1" x14ac:dyDescent="0.25">
      <c r="A178" s="12"/>
      <c r="B178" s="13"/>
      <c r="C178" s="14"/>
      <c r="D178" s="14"/>
      <c r="E178" s="15"/>
      <c r="F178" s="12"/>
      <c r="G178" s="15"/>
      <c r="H178" s="14"/>
      <c r="I178" s="15"/>
      <c r="J178" s="14"/>
      <c r="K178" s="14"/>
      <c r="L178" s="16" t="str">
        <f t="shared" si="36"/>
        <v/>
      </c>
      <c r="M178" s="17"/>
      <c r="N178" s="17"/>
      <c r="O178" s="18"/>
      <c r="P178" s="12">
        <v>25</v>
      </c>
      <c r="Q178" s="19"/>
      <c r="R178" s="19"/>
    </row>
    <row r="179" spans="1:18" hidden="1" x14ac:dyDescent="0.25">
      <c r="A179" s="12"/>
      <c r="B179" s="13"/>
      <c r="C179" s="14"/>
      <c r="D179" s="14"/>
      <c r="E179" s="15"/>
      <c r="F179" s="12"/>
      <c r="G179" s="15"/>
      <c r="H179" s="14"/>
      <c r="I179" s="15"/>
      <c r="J179" s="12"/>
      <c r="K179" s="12"/>
      <c r="L179" s="16" t="str">
        <f t="shared" si="36"/>
        <v/>
      </c>
      <c r="M179" s="17"/>
      <c r="N179" s="17"/>
      <c r="O179" s="18"/>
      <c r="P179" s="12">
        <v>25</v>
      </c>
      <c r="Q179" s="19"/>
      <c r="R179" s="19"/>
    </row>
    <row r="180" spans="1:18" hidden="1" x14ac:dyDescent="0.25">
      <c r="A180" s="12"/>
      <c r="B180" s="13"/>
      <c r="C180" s="14"/>
      <c r="D180" s="14"/>
      <c r="E180" s="15"/>
      <c r="F180" s="12"/>
      <c r="G180" s="15"/>
      <c r="H180" s="14"/>
      <c r="I180" s="15"/>
      <c r="J180" s="14"/>
      <c r="K180" s="14"/>
      <c r="L180" s="16" t="str">
        <f t="shared" si="36"/>
        <v/>
      </c>
      <c r="M180" s="17"/>
      <c r="N180" s="17"/>
      <c r="O180" s="18"/>
      <c r="P180" s="12">
        <v>25</v>
      </c>
      <c r="Q180" s="19"/>
      <c r="R180" s="19"/>
    </row>
    <row r="181" spans="1:18" hidden="1" x14ac:dyDescent="0.25">
      <c r="A181" s="12"/>
      <c r="B181" s="13"/>
      <c r="C181" s="14"/>
      <c r="D181" s="14"/>
      <c r="E181" s="15"/>
      <c r="F181" s="12"/>
      <c r="G181" s="15"/>
      <c r="H181" s="14"/>
      <c r="I181" s="15"/>
      <c r="J181" s="14"/>
      <c r="K181" s="14"/>
      <c r="L181" s="16" t="str">
        <f t="shared" si="36"/>
        <v/>
      </c>
      <c r="M181" s="17"/>
      <c r="N181" s="17"/>
      <c r="O181" s="18"/>
      <c r="P181" s="12">
        <v>25</v>
      </c>
      <c r="Q181" s="19"/>
      <c r="R181" s="19"/>
    </row>
    <row r="182" spans="1:18" hidden="1" x14ac:dyDescent="0.25">
      <c r="A182" s="12"/>
      <c r="B182" s="13"/>
      <c r="C182" s="14"/>
      <c r="D182" s="14"/>
      <c r="E182" s="15"/>
      <c r="F182" s="12"/>
      <c r="G182" s="15"/>
      <c r="H182" s="14"/>
      <c r="I182" s="15"/>
      <c r="J182" s="14"/>
      <c r="K182" s="14"/>
      <c r="L182" s="16" t="str">
        <f>IF(J182&lt;&gt;"",J182*K182,"")</f>
        <v/>
      </c>
      <c r="M182" s="17"/>
      <c r="N182" s="17"/>
      <c r="O182" s="18"/>
      <c r="P182" s="12">
        <v>25</v>
      </c>
      <c r="Q182" s="19"/>
      <c r="R182" s="19"/>
    </row>
    <row r="183" spans="1:18" hidden="1" x14ac:dyDescent="0.25">
      <c r="A183" s="12"/>
      <c r="B183" s="13"/>
      <c r="C183" s="14"/>
      <c r="D183" s="14"/>
      <c r="E183" s="15"/>
      <c r="F183" s="12"/>
      <c r="G183" s="15"/>
      <c r="H183" s="14"/>
      <c r="I183" s="15"/>
      <c r="J183" s="14"/>
      <c r="K183" s="14"/>
      <c r="L183" s="16" t="str">
        <f t="shared" ref="L183:L184" si="37">IF(J183&lt;&gt;"",J183*K183,"")</f>
        <v/>
      </c>
      <c r="M183" s="17"/>
      <c r="N183" s="17"/>
      <c r="O183" s="18"/>
      <c r="P183" s="12">
        <v>25</v>
      </c>
      <c r="Q183" s="19"/>
      <c r="R183" s="19"/>
    </row>
    <row r="184" spans="1:18" hidden="1" x14ac:dyDescent="0.25">
      <c r="A184" s="12"/>
      <c r="B184" s="13"/>
      <c r="C184" s="14"/>
      <c r="D184" s="14"/>
      <c r="E184" s="15"/>
      <c r="F184" s="12"/>
      <c r="G184" s="15"/>
      <c r="H184" s="14"/>
      <c r="I184" s="15"/>
      <c r="J184" s="14"/>
      <c r="K184" s="14"/>
      <c r="L184" s="16" t="str">
        <f t="shared" si="37"/>
        <v/>
      </c>
      <c r="M184" s="17"/>
      <c r="N184" s="17"/>
      <c r="O184" s="18"/>
      <c r="P184" s="12">
        <v>25</v>
      </c>
      <c r="Q184" s="19"/>
      <c r="R184" s="19"/>
    </row>
    <row r="185" spans="1:18" hidden="1" x14ac:dyDescent="0.25">
      <c r="A185" s="5"/>
      <c r="B185" s="6"/>
      <c r="C185" s="7"/>
      <c r="D185" s="7"/>
      <c r="E185" s="8"/>
      <c r="F185" s="7"/>
      <c r="G185" s="8" t="s">
        <v>79</v>
      </c>
      <c r="H185" s="7"/>
      <c r="I185" s="8"/>
      <c r="J185" s="9"/>
      <c r="K185" s="9"/>
      <c r="L185" s="9"/>
      <c r="M185" s="10"/>
      <c r="N185" s="10"/>
      <c r="O185" s="11"/>
      <c r="P185" s="9">
        <v>26</v>
      </c>
      <c r="Q185" s="11"/>
      <c r="R185" s="11"/>
    </row>
    <row r="186" spans="1:18" hidden="1" x14ac:dyDescent="0.25">
      <c r="A186" s="12"/>
      <c r="B186" s="13"/>
      <c r="C186" s="14"/>
      <c r="D186" s="14"/>
      <c r="E186" s="15"/>
      <c r="F186" s="12"/>
      <c r="G186" s="15"/>
      <c r="H186" s="14"/>
      <c r="I186" s="15"/>
      <c r="J186" s="14"/>
      <c r="K186" s="14"/>
      <c r="L186" s="16" t="str">
        <f t="shared" ref="L186:L190" si="38">IF(J186&lt;&gt;"",J186*K186,"")</f>
        <v/>
      </c>
      <c r="M186" s="17"/>
      <c r="N186" s="17"/>
      <c r="O186" s="18"/>
      <c r="P186" s="12">
        <v>26</v>
      </c>
      <c r="Q186" s="19"/>
      <c r="R186" s="19"/>
    </row>
    <row r="187" spans="1:18" hidden="1" x14ac:dyDescent="0.25">
      <c r="A187" s="12"/>
      <c r="B187" s="13"/>
      <c r="C187" s="14"/>
      <c r="D187" s="14"/>
      <c r="E187" s="15"/>
      <c r="F187" s="12"/>
      <c r="G187" s="15"/>
      <c r="H187" s="14"/>
      <c r="I187" s="15"/>
      <c r="J187" s="14"/>
      <c r="K187" s="14"/>
      <c r="L187" s="16" t="str">
        <f t="shared" si="38"/>
        <v/>
      </c>
      <c r="M187" s="17"/>
      <c r="N187" s="17"/>
      <c r="O187" s="18"/>
      <c r="P187" s="12">
        <v>26</v>
      </c>
      <c r="Q187" s="19"/>
      <c r="R187" s="19"/>
    </row>
    <row r="188" spans="1:18" hidden="1" x14ac:dyDescent="0.25">
      <c r="A188" s="12"/>
      <c r="B188" s="13"/>
      <c r="C188" s="14"/>
      <c r="D188" s="14"/>
      <c r="E188" s="15"/>
      <c r="F188" s="12"/>
      <c r="G188" s="15"/>
      <c r="H188" s="14"/>
      <c r="I188" s="15"/>
      <c r="J188" s="12"/>
      <c r="K188" s="12"/>
      <c r="L188" s="16" t="str">
        <f t="shared" si="38"/>
        <v/>
      </c>
      <c r="M188" s="17"/>
      <c r="N188" s="17"/>
      <c r="O188" s="18"/>
      <c r="P188" s="12">
        <v>26</v>
      </c>
      <c r="Q188" s="19"/>
      <c r="R188" s="19"/>
    </row>
    <row r="189" spans="1:18" hidden="1" x14ac:dyDescent="0.25">
      <c r="A189" s="12"/>
      <c r="B189" s="13"/>
      <c r="C189" s="14"/>
      <c r="D189" s="14"/>
      <c r="E189" s="15"/>
      <c r="F189" s="12"/>
      <c r="G189" s="15"/>
      <c r="H189" s="14"/>
      <c r="I189" s="15"/>
      <c r="J189" s="14"/>
      <c r="K189" s="14"/>
      <c r="L189" s="16" t="str">
        <f t="shared" si="38"/>
        <v/>
      </c>
      <c r="M189" s="17"/>
      <c r="N189" s="17"/>
      <c r="O189" s="18"/>
      <c r="P189" s="12">
        <v>26</v>
      </c>
      <c r="Q189" s="19"/>
      <c r="R189" s="19"/>
    </row>
    <row r="190" spans="1:18" hidden="1" x14ac:dyDescent="0.25">
      <c r="A190" s="12"/>
      <c r="B190" s="13"/>
      <c r="C190" s="14"/>
      <c r="D190" s="14"/>
      <c r="E190" s="15"/>
      <c r="F190" s="12"/>
      <c r="G190" s="15"/>
      <c r="H190" s="14"/>
      <c r="I190" s="15"/>
      <c r="J190" s="14"/>
      <c r="K190" s="14"/>
      <c r="L190" s="16" t="str">
        <f t="shared" si="38"/>
        <v/>
      </c>
      <c r="M190" s="17"/>
      <c r="N190" s="17"/>
      <c r="O190" s="18"/>
      <c r="P190" s="12">
        <v>26</v>
      </c>
      <c r="Q190" s="19"/>
      <c r="R190" s="19"/>
    </row>
    <row r="191" spans="1:18" hidden="1" x14ac:dyDescent="0.25">
      <c r="A191" s="12"/>
      <c r="B191" s="13"/>
      <c r="C191" s="14"/>
      <c r="D191" s="14"/>
      <c r="E191" s="15"/>
      <c r="F191" s="12"/>
      <c r="G191" s="15"/>
      <c r="H191" s="14"/>
      <c r="I191" s="15"/>
      <c r="J191" s="14"/>
      <c r="K191" s="14"/>
      <c r="L191" s="16" t="str">
        <f>IF(J191&lt;&gt;"",J191*K191,"")</f>
        <v/>
      </c>
      <c r="M191" s="17"/>
      <c r="N191" s="17"/>
      <c r="O191" s="18"/>
      <c r="P191" s="12">
        <v>26</v>
      </c>
      <c r="Q191" s="19"/>
      <c r="R191" s="19"/>
    </row>
    <row r="192" spans="1:18" hidden="1" x14ac:dyDescent="0.25">
      <c r="A192" s="12"/>
      <c r="B192" s="13"/>
      <c r="C192" s="14"/>
      <c r="D192" s="14"/>
      <c r="E192" s="15"/>
      <c r="F192" s="12"/>
      <c r="G192" s="15"/>
      <c r="H192" s="14"/>
      <c r="I192" s="15"/>
      <c r="J192" s="14"/>
      <c r="K192" s="14"/>
      <c r="L192" s="16" t="str">
        <f t="shared" ref="L192:L193" si="39">IF(J192&lt;&gt;"",J192*K192,"")</f>
        <v/>
      </c>
      <c r="M192" s="17"/>
      <c r="N192" s="17"/>
      <c r="O192" s="18"/>
      <c r="P192" s="12">
        <v>26</v>
      </c>
      <c r="Q192" s="19"/>
      <c r="R192" s="19"/>
    </row>
    <row r="193" spans="1:18" hidden="1" x14ac:dyDescent="0.25">
      <c r="A193" s="12"/>
      <c r="B193" s="13"/>
      <c r="C193" s="14"/>
      <c r="D193" s="14"/>
      <c r="E193" s="15"/>
      <c r="F193" s="12"/>
      <c r="G193" s="15"/>
      <c r="H193" s="14"/>
      <c r="I193" s="15"/>
      <c r="J193" s="14"/>
      <c r="K193" s="14"/>
      <c r="L193" s="16" t="str">
        <f t="shared" si="39"/>
        <v/>
      </c>
      <c r="M193" s="17"/>
      <c r="N193" s="17"/>
      <c r="O193" s="18"/>
      <c r="P193" s="12">
        <v>26</v>
      </c>
      <c r="Q193" s="19"/>
      <c r="R193" s="19"/>
    </row>
    <row r="194" spans="1:18" hidden="1" x14ac:dyDescent="0.25">
      <c r="A194" s="5"/>
      <c r="B194" s="6"/>
      <c r="C194" s="7"/>
      <c r="D194" s="7"/>
      <c r="E194" s="8"/>
      <c r="F194" s="7"/>
      <c r="G194" s="8" t="s">
        <v>80</v>
      </c>
      <c r="H194" s="7"/>
      <c r="I194" s="8"/>
      <c r="J194" s="9"/>
      <c r="K194" s="9"/>
      <c r="L194" s="9"/>
      <c r="M194" s="10"/>
      <c r="N194" s="10"/>
      <c r="O194" s="11"/>
      <c r="P194" s="9">
        <v>27</v>
      </c>
      <c r="Q194" s="11"/>
      <c r="R194" s="11"/>
    </row>
    <row r="195" spans="1:18" hidden="1" x14ac:dyDescent="0.25">
      <c r="A195" s="12"/>
      <c r="B195" s="13"/>
      <c r="C195" s="14"/>
      <c r="D195" s="14"/>
      <c r="E195" s="15"/>
      <c r="F195" s="12"/>
      <c r="G195" s="15"/>
      <c r="H195" s="14"/>
      <c r="I195" s="15"/>
      <c r="J195" s="14"/>
      <c r="K195" s="14"/>
      <c r="L195" s="16" t="str">
        <f t="shared" ref="L195:L199" si="40">IF(J195&lt;&gt;"",J195*K195,"")</f>
        <v/>
      </c>
      <c r="M195" s="17"/>
      <c r="N195" s="17"/>
      <c r="O195" s="18"/>
      <c r="P195" s="12">
        <v>27</v>
      </c>
      <c r="Q195" s="19"/>
      <c r="R195" s="19"/>
    </row>
    <row r="196" spans="1:18" hidden="1" x14ac:dyDescent="0.25">
      <c r="A196" s="12"/>
      <c r="B196" s="13"/>
      <c r="C196" s="14"/>
      <c r="D196" s="14"/>
      <c r="E196" s="15"/>
      <c r="F196" s="12"/>
      <c r="G196" s="15"/>
      <c r="H196" s="14"/>
      <c r="I196" s="15"/>
      <c r="J196" s="14"/>
      <c r="K196" s="14"/>
      <c r="L196" s="16" t="str">
        <f t="shared" si="40"/>
        <v/>
      </c>
      <c r="M196" s="17"/>
      <c r="N196" s="17"/>
      <c r="O196" s="18"/>
      <c r="P196" s="12">
        <v>27</v>
      </c>
      <c r="Q196" s="19"/>
      <c r="R196" s="19"/>
    </row>
    <row r="197" spans="1:18" hidden="1" x14ac:dyDescent="0.25">
      <c r="A197" s="12"/>
      <c r="B197" s="13"/>
      <c r="C197" s="14"/>
      <c r="D197" s="14"/>
      <c r="E197" s="15"/>
      <c r="F197" s="12"/>
      <c r="G197" s="15"/>
      <c r="H197" s="14"/>
      <c r="I197" s="15"/>
      <c r="J197" s="12"/>
      <c r="K197" s="12"/>
      <c r="L197" s="16" t="str">
        <f t="shared" si="40"/>
        <v/>
      </c>
      <c r="M197" s="17"/>
      <c r="N197" s="17"/>
      <c r="O197" s="18"/>
      <c r="P197" s="12">
        <v>27</v>
      </c>
      <c r="Q197" s="19"/>
      <c r="R197" s="19"/>
    </row>
    <row r="198" spans="1:18" hidden="1" x14ac:dyDescent="0.25">
      <c r="A198" s="12"/>
      <c r="B198" s="13"/>
      <c r="C198" s="14"/>
      <c r="D198" s="14"/>
      <c r="E198" s="15"/>
      <c r="F198" s="12"/>
      <c r="G198" s="15"/>
      <c r="H198" s="14"/>
      <c r="I198" s="15"/>
      <c r="J198" s="14"/>
      <c r="K198" s="14"/>
      <c r="L198" s="16" t="str">
        <f t="shared" si="40"/>
        <v/>
      </c>
      <c r="M198" s="17"/>
      <c r="N198" s="17"/>
      <c r="O198" s="18"/>
      <c r="P198" s="12">
        <v>27</v>
      </c>
      <c r="Q198" s="19"/>
      <c r="R198" s="19"/>
    </row>
    <row r="199" spans="1:18" hidden="1" x14ac:dyDescent="0.25">
      <c r="A199" s="12"/>
      <c r="B199" s="13"/>
      <c r="C199" s="14"/>
      <c r="D199" s="14"/>
      <c r="E199" s="15"/>
      <c r="F199" s="12"/>
      <c r="G199" s="15"/>
      <c r="H199" s="14"/>
      <c r="I199" s="15"/>
      <c r="J199" s="14"/>
      <c r="K199" s="14"/>
      <c r="L199" s="16" t="str">
        <f t="shared" si="40"/>
        <v/>
      </c>
      <c r="M199" s="17"/>
      <c r="N199" s="17"/>
      <c r="O199" s="18"/>
      <c r="P199" s="12">
        <v>27</v>
      </c>
      <c r="Q199" s="19"/>
      <c r="R199" s="19"/>
    </row>
    <row r="200" spans="1:18" hidden="1" x14ac:dyDescent="0.25">
      <c r="A200" s="12"/>
      <c r="B200" s="13"/>
      <c r="C200" s="14"/>
      <c r="D200" s="14"/>
      <c r="E200" s="15"/>
      <c r="F200" s="12"/>
      <c r="G200" s="15"/>
      <c r="H200" s="14"/>
      <c r="I200" s="15"/>
      <c r="J200" s="14"/>
      <c r="K200" s="14"/>
      <c r="L200" s="16" t="str">
        <f>IF(J200&lt;&gt;"",J200*K200,"")</f>
        <v/>
      </c>
      <c r="M200" s="17"/>
      <c r="N200" s="17"/>
      <c r="O200" s="18"/>
      <c r="P200" s="12">
        <v>27</v>
      </c>
      <c r="Q200" s="19"/>
      <c r="R200" s="19"/>
    </row>
    <row r="201" spans="1:18" hidden="1" x14ac:dyDescent="0.25">
      <c r="A201" s="12"/>
      <c r="B201" s="13"/>
      <c r="C201" s="14"/>
      <c r="D201" s="14"/>
      <c r="E201" s="15"/>
      <c r="F201" s="12"/>
      <c r="G201" s="15"/>
      <c r="H201" s="14"/>
      <c r="I201" s="15"/>
      <c r="J201" s="14"/>
      <c r="K201" s="14"/>
      <c r="L201" s="16" t="str">
        <f t="shared" ref="L201:L202" si="41">IF(J201&lt;&gt;"",J201*K201,"")</f>
        <v/>
      </c>
      <c r="M201" s="17"/>
      <c r="N201" s="17"/>
      <c r="O201" s="18"/>
      <c r="P201" s="12">
        <v>27</v>
      </c>
      <c r="Q201" s="19"/>
      <c r="R201" s="19"/>
    </row>
    <row r="202" spans="1:18" hidden="1" x14ac:dyDescent="0.25">
      <c r="A202" s="12"/>
      <c r="B202" s="13"/>
      <c r="C202" s="14"/>
      <c r="D202" s="14"/>
      <c r="E202" s="15"/>
      <c r="F202" s="12"/>
      <c r="G202" s="15"/>
      <c r="H202" s="14"/>
      <c r="I202" s="15"/>
      <c r="J202" s="14"/>
      <c r="K202" s="14"/>
      <c r="L202" s="16" t="str">
        <f t="shared" si="41"/>
        <v/>
      </c>
      <c r="M202" s="17"/>
      <c r="N202" s="17"/>
      <c r="O202" s="18"/>
      <c r="P202" s="12">
        <v>27</v>
      </c>
      <c r="Q202" s="19"/>
      <c r="R202" s="19"/>
    </row>
    <row r="203" spans="1:18" hidden="1" x14ac:dyDescent="0.25">
      <c r="A203" s="5"/>
      <c r="B203" s="6"/>
      <c r="C203" s="7"/>
      <c r="D203" s="7"/>
      <c r="E203" s="8"/>
      <c r="F203" s="7"/>
      <c r="G203" s="8" t="s">
        <v>81</v>
      </c>
      <c r="H203" s="7"/>
      <c r="I203" s="8"/>
      <c r="J203" s="9"/>
      <c r="K203" s="9"/>
      <c r="L203" s="9"/>
      <c r="M203" s="10"/>
      <c r="N203" s="10"/>
      <c r="O203" s="11"/>
      <c r="P203" s="9">
        <v>28</v>
      </c>
      <c r="Q203" s="11"/>
      <c r="R203" s="11"/>
    </row>
    <row r="204" spans="1:18" hidden="1" x14ac:dyDescent="0.25">
      <c r="A204" s="12"/>
      <c r="B204" s="13"/>
      <c r="C204" s="14"/>
      <c r="D204" s="14"/>
      <c r="E204" s="15"/>
      <c r="F204" s="12"/>
      <c r="G204" s="15"/>
      <c r="H204" s="14"/>
      <c r="I204" s="15"/>
      <c r="J204" s="14"/>
      <c r="K204" s="14"/>
      <c r="L204" s="16" t="str">
        <f t="shared" ref="L204:L208" si="42">IF(J204&lt;&gt;"",J204*K204,"")</f>
        <v/>
      </c>
      <c r="M204" s="17"/>
      <c r="N204" s="17"/>
      <c r="O204" s="18"/>
      <c r="P204" s="12">
        <v>28</v>
      </c>
      <c r="Q204" s="19"/>
      <c r="R204" s="19"/>
    </row>
    <row r="205" spans="1:18" hidden="1" x14ac:dyDescent="0.25">
      <c r="A205" s="12"/>
      <c r="B205" s="13"/>
      <c r="C205" s="14"/>
      <c r="D205" s="14"/>
      <c r="E205" s="15"/>
      <c r="F205" s="12"/>
      <c r="G205" s="15"/>
      <c r="H205" s="14"/>
      <c r="I205" s="15"/>
      <c r="J205" s="14"/>
      <c r="K205" s="14"/>
      <c r="L205" s="16" t="str">
        <f t="shared" si="42"/>
        <v/>
      </c>
      <c r="M205" s="17"/>
      <c r="N205" s="17"/>
      <c r="O205" s="18"/>
      <c r="P205" s="12">
        <v>28</v>
      </c>
      <c r="Q205" s="19"/>
      <c r="R205" s="19"/>
    </row>
    <row r="206" spans="1:18" hidden="1" x14ac:dyDescent="0.25">
      <c r="A206" s="12"/>
      <c r="B206" s="13"/>
      <c r="C206" s="14"/>
      <c r="D206" s="14"/>
      <c r="E206" s="15"/>
      <c r="F206" s="12"/>
      <c r="G206" s="15"/>
      <c r="H206" s="14"/>
      <c r="I206" s="15"/>
      <c r="J206" s="12"/>
      <c r="K206" s="12"/>
      <c r="L206" s="16" t="str">
        <f t="shared" si="42"/>
        <v/>
      </c>
      <c r="M206" s="17"/>
      <c r="N206" s="17"/>
      <c r="O206" s="18"/>
      <c r="P206" s="12">
        <v>28</v>
      </c>
      <c r="Q206" s="19"/>
      <c r="R206" s="19"/>
    </row>
    <row r="207" spans="1:18" hidden="1" x14ac:dyDescent="0.25">
      <c r="A207" s="12"/>
      <c r="B207" s="13"/>
      <c r="C207" s="14"/>
      <c r="D207" s="14"/>
      <c r="E207" s="15"/>
      <c r="F207" s="12"/>
      <c r="G207" s="15"/>
      <c r="H207" s="14"/>
      <c r="I207" s="15"/>
      <c r="J207" s="14"/>
      <c r="K207" s="14"/>
      <c r="L207" s="16" t="str">
        <f t="shared" si="42"/>
        <v/>
      </c>
      <c r="M207" s="17"/>
      <c r="N207" s="17"/>
      <c r="O207" s="18"/>
      <c r="P207" s="12">
        <v>28</v>
      </c>
      <c r="Q207" s="19"/>
      <c r="R207" s="19"/>
    </row>
    <row r="208" spans="1:18" hidden="1" x14ac:dyDescent="0.25">
      <c r="A208" s="12"/>
      <c r="B208" s="13"/>
      <c r="C208" s="14"/>
      <c r="D208" s="14"/>
      <c r="E208" s="15"/>
      <c r="F208" s="12"/>
      <c r="G208" s="15"/>
      <c r="H208" s="14"/>
      <c r="I208" s="15"/>
      <c r="J208" s="14"/>
      <c r="K208" s="14"/>
      <c r="L208" s="16" t="str">
        <f t="shared" si="42"/>
        <v/>
      </c>
      <c r="M208" s="17"/>
      <c r="N208" s="17"/>
      <c r="O208" s="18"/>
      <c r="P208" s="12">
        <v>28</v>
      </c>
      <c r="Q208" s="19"/>
      <c r="R208" s="19"/>
    </row>
    <row r="209" spans="1:18" hidden="1" x14ac:dyDescent="0.25">
      <c r="A209" s="12"/>
      <c r="B209" s="13"/>
      <c r="C209" s="14"/>
      <c r="D209" s="14"/>
      <c r="E209" s="15"/>
      <c r="F209" s="12"/>
      <c r="G209" s="15"/>
      <c r="H209" s="14"/>
      <c r="I209" s="15"/>
      <c r="J209" s="14"/>
      <c r="K209" s="14"/>
      <c r="L209" s="16" t="str">
        <f>IF(J209&lt;&gt;"",J209*K209,"")</f>
        <v/>
      </c>
      <c r="M209" s="17"/>
      <c r="N209" s="17"/>
      <c r="O209" s="18"/>
      <c r="P209" s="12">
        <v>28</v>
      </c>
      <c r="Q209" s="19"/>
      <c r="R209" s="19"/>
    </row>
    <row r="210" spans="1:18" hidden="1" x14ac:dyDescent="0.25">
      <c r="A210" s="12"/>
      <c r="B210" s="13"/>
      <c r="C210" s="14"/>
      <c r="D210" s="14"/>
      <c r="E210" s="15"/>
      <c r="F210" s="12"/>
      <c r="G210" s="15"/>
      <c r="H210" s="14"/>
      <c r="I210" s="15"/>
      <c r="J210" s="14"/>
      <c r="K210" s="14"/>
      <c r="L210" s="16" t="str">
        <f t="shared" ref="L210:L211" si="43">IF(J210&lt;&gt;"",J210*K210,"")</f>
        <v/>
      </c>
      <c r="M210" s="17"/>
      <c r="N210" s="17"/>
      <c r="O210" s="18"/>
      <c r="P210" s="12">
        <v>28</v>
      </c>
      <c r="Q210" s="19"/>
      <c r="R210" s="19"/>
    </row>
    <row r="211" spans="1:18" hidden="1" x14ac:dyDescent="0.25">
      <c r="A211" s="12"/>
      <c r="B211" s="13"/>
      <c r="C211" s="14"/>
      <c r="D211" s="14"/>
      <c r="E211" s="15"/>
      <c r="F211" s="12"/>
      <c r="G211" s="15"/>
      <c r="H211" s="14"/>
      <c r="I211" s="15"/>
      <c r="J211" s="14"/>
      <c r="K211" s="14"/>
      <c r="L211" s="16" t="str">
        <f t="shared" si="43"/>
        <v/>
      </c>
      <c r="M211" s="17"/>
      <c r="N211" s="17"/>
      <c r="O211" s="18"/>
      <c r="P211" s="12">
        <v>28</v>
      </c>
      <c r="Q211" s="19"/>
      <c r="R211" s="19"/>
    </row>
    <row r="212" spans="1:18" hidden="1" x14ac:dyDescent="0.25">
      <c r="A212" s="5"/>
      <c r="B212" s="6"/>
      <c r="C212" s="7"/>
      <c r="D212" s="7"/>
      <c r="E212" s="8"/>
      <c r="F212" s="7"/>
      <c r="G212" s="8" t="s">
        <v>82</v>
      </c>
      <c r="H212" s="7"/>
      <c r="I212" s="8"/>
      <c r="J212" s="9"/>
      <c r="K212" s="9"/>
      <c r="L212" s="9"/>
      <c r="M212" s="10"/>
      <c r="N212" s="10"/>
      <c r="O212" s="11"/>
      <c r="P212" s="9">
        <v>29</v>
      </c>
      <c r="Q212" s="11"/>
      <c r="R212" s="11"/>
    </row>
    <row r="213" spans="1:18" hidden="1" x14ac:dyDescent="0.25">
      <c r="A213" s="12"/>
      <c r="B213" s="13"/>
      <c r="C213" s="14"/>
      <c r="D213" s="14"/>
      <c r="E213" s="15"/>
      <c r="F213" s="12"/>
      <c r="G213" s="15"/>
      <c r="H213" s="14"/>
      <c r="I213" s="15"/>
      <c r="J213" s="14"/>
      <c r="K213" s="14"/>
      <c r="L213" s="16" t="str">
        <f t="shared" ref="L213:L217" si="44">IF(J213&lt;&gt;"",J213*K213,"")</f>
        <v/>
      </c>
      <c r="M213" s="17"/>
      <c r="N213" s="17"/>
      <c r="O213" s="18"/>
      <c r="P213" s="12">
        <v>29</v>
      </c>
      <c r="Q213" s="19"/>
      <c r="R213" s="19"/>
    </row>
    <row r="214" spans="1:18" hidden="1" x14ac:dyDescent="0.25">
      <c r="A214" s="12"/>
      <c r="B214" s="13"/>
      <c r="C214" s="14"/>
      <c r="D214" s="14"/>
      <c r="E214" s="15"/>
      <c r="F214" s="12"/>
      <c r="G214" s="15"/>
      <c r="H214" s="14"/>
      <c r="I214" s="15"/>
      <c r="J214" s="14"/>
      <c r="K214" s="14"/>
      <c r="L214" s="16" t="str">
        <f t="shared" si="44"/>
        <v/>
      </c>
      <c r="M214" s="17"/>
      <c r="N214" s="17"/>
      <c r="O214" s="18"/>
      <c r="P214" s="12">
        <v>29</v>
      </c>
      <c r="Q214" s="19"/>
      <c r="R214" s="19"/>
    </row>
    <row r="215" spans="1:18" hidden="1" x14ac:dyDescent="0.25">
      <c r="A215" s="12"/>
      <c r="B215" s="13"/>
      <c r="C215" s="14"/>
      <c r="D215" s="14"/>
      <c r="E215" s="15"/>
      <c r="F215" s="12"/>
      <c r="G215" s="15"/>
      <c r="H215" s="14"/>
      <c r="I215" s="15"/>
      <c r="J215" s="12"/>
      <c r="K215" s="12"/>
      <c r="L215" s="16" t="str">
        <f t="shared" si="44"/>
        <v/>
      </c>
      <c r="M215" s="17"/>
      <c r="N215" s="17"/>
      <c r="O215" s="18"/>
      <c r="P215" s="12">
        <v>29</v>
      </c>
      <c r="Q215" s="19"/>
      <c r="R215" s="19"/>
    </row>
    <row r="216" spans="1:18" hidden="1" x14ac:dyDescent="0.25">
      <c r="A216" s="12"/>
      <c r="B216" s="13"/>
      <c r="C216" s="14"/>
      <c r="D216" s="14"/>
      <c r="E216" s="15"/>
      <c r="F216" s="12"/>
      <c r="G216" s="15"/>
      <c r="H216" s="14"/>
      <c r="I216" s="15"/>
      <c r="J216" s="14"/>
      <c r="K216" s="14"/>
      <c r="L216" s="16" t="str">
        <f t="shared" si="44"/>
        <v/>
      </c>
      <c r="M216" s="17"/>
      <c r="N216" s="17"/>
      <c r="O216" s="18"/>
      <c r="P216" s="12">
        <v>29</v>
      </c>
      <c r="Q216" s="19"/>
      <c r="R216" s="19"/>
    </row>
    <row r="217" spans="1:18" hidden="1" x14ac:dyDescent="0.25">
      <c r="A217" s="12"/>
      <c r="B217" s="13"/>
      <c r="C217" s="14"/>
      <c r="D217" s="14"/>
      <c r="E217" s="15"/>
      <c r="F217" s="12"/>
      <c r="G217" s="15"/>
      <c r="H217" s="14"/>
      <c r="I217" s="15"/>
      <c r="J217" s="14"/>
      <c r="K217" s="14"/>
      <c r="L217" s="16" t="str">
        <f t="shared" si="44"/>
        <v/>
      </c>
      <c r="M217" s="17"/>
      <c r="N217" s="17"/>
      <c r="O217" s="18"/>
      <c r="P217" s="12">
        <v>29</v>
      </c>
      <c r="Q217" s="19"/>
      <c r="R217" s="19"/>
    </row>
    <row r="218" spans="1:18" hidden="1" x14ac:dyDescent="0.25">
      <c r="A218" s="12"/>
      <c r="B218" s="13"/>
      <c r="C218" s="14"/>
      <c r="D218" s="14"/>
      <c r="E218" s="15"/>
      <c r="F218" s="12"/>
      <c r="G218" s="15"/>
      <c r="H218" s="14"/>
      <c r="I218" s="15"/>
      <c r="J218" s="14"/>
      <c r="K218" s="14"/>
      <c r="L218" s="16" t="str">
        <f>IF(J218&lt;&gt;"",J218*K218,"")</f>
        <v/>
      </c>
      <c r="M218" s="17"/>
      <c r="N218" s="17"/>
      <c r="O218" s="18"/>
      <c r="P218" s="12">
        <v>29</v>
      </c>
      <c r="Q218" s="19"/>
      <c r="R218" s="19"/>
    </row>
    <row r="219" spans="1:18" hidden="1" x14ac:dyDescent="0.25">
      <c r="A219" s="12"/>
      <c r="B219" s="13"/>
      <c r="C219" s="14"/>
      <c r="D219" s="14"/>
      <c r="E219" s="15"/>
      <c r="F219" s="12"/>
      <c r="G219" s="15"/>
      <c r="H219" s="14"/>
      <c r="I219" s="15"/>
      <c r="J219" s="14"/>
      <c r="K219" s="14"/>
      <c r="L219" s="16" t="str">
        <f t="shared" ref="L219:L220" si="45">IF(J219&lt;&gt;"",J219*K219,"")</f>
        <v/>
      </c>
      <c r="M219" s="17"/>
      <c r="N219" s="17"/>
      <c r="O219" s="18"/>
      <c r="P219" s="12">
        <v>29</v>
      </c>
      <c r="Q219" s="19"/>
      <c r="R219" s="19"/>
    </row>
    <row r="220" spans="1:18" hidden="1" x14ac:dyDescent="0.25">
      <c r="A220" s="12"/>
      <c r="B220" s="13"/>
      <c r="C220" s="14"/>
      <c r="D220" s="14"/>
      <c r="E220" s="15"/>
      <c r="F220" s="12"/>
      <c r="G220" s="15"/>
      <c r="H220" s="14"/>
      <c r="I220" s="15"/>
      <c r="J220" s="14"/>
      <c r="K220" s="14"/>
      <c r="L220" s="16" t="str">
        <f t="shared" si="45"/>
        <v/>
      </c>
      <c r="M220" s="17"/>
      <c r="N220" s="17"/>
      <c r="O220" s="18"/>
      <c r="P220" s="12">
        <v>29</v>
      </c>
      <c r="Q220" s="19"/>
      <c r="R220" s="19"/>
    </row>
    <row r="221" spans="1:18" hidden="1" x14ac:dyDescent="0.25">
      <c r="A221" s="5"/>
      <c r="B221" s="6"/>
      <c r="C221" s="7"/>
      <c r="D221" s="7"/>
      <c r="E221" s="8"/>
      <c r="F221" s="7"/>
      <c r="G221" s="8" t="s">
        <v>83</v>
      </c>
      <c r="H221" s="7"/>
      <c r="I221" s="8"/>
      <c r="J221" s="9"/>
      <c r="K221" s="9"/>
      <c r="L221" s="9"/>
      <c r="M221" s="10"/>
      <c r="N221" s="10"/>
      <c r="O221" s="11"/>
      <c r="P221" s="9">
        <v>30</v>
      </c>
      <c r="Q221" s="11"/>
      <c r="R221" s="11"/>
    </row>
    <row r="222" spans="1:18" hidden="1" x14ac:dyDescent="0.25">
      <c r="A222" s="12"/>
      <c r="B222" s="13"/>
      <c r="C222" s="14"/>
      <c r="D222" s="14"/>
      <c r="E222" s="15"/>
      <c r="F222" s="12"/>
      <c r="G222" s="15"/>
      <c r="H222" s="14"/>
      <c r="I222" s="15"/>
      <c r="J222" s="14"/>
      <c r="K222" s="14"/>
      <c r="L222" s="16" t="str">
        <f t="shared" ref="L222:L226" si="46">IF(J222&lt;&gt;"",J222*K222,"")</f>
        <v/>
      </c>
      <c r="M222" s="17"/>
      <c r="N222" s="17"/>
      <c r="O222" s="18"/>
      <c r="P222" s="12">
        <v>30</v>
      </c>
      <c r="Q222" s="19"/>
      <c r="R222" s="19"/>
    </row>
    <row r="223" spans="1:18" hidden="1" x14ac:dyDescent="0.25">
      <c r="A223" s="12"/>
      <c r="B223" s="13"/>
      <c r="C223" s="14"/>
      <c r="D223" s="14"/>
      <c r="E223" s="15"/>
      <c r="F223" s="12"/>
      <c r="G223" s="15"/>
      <c r="H223" s="14"/>
      <c r="I223" s="15"/>
      <c r="J223" s="14"/>
      <c r="K223" s="14"/>
      <c r="L223" s="16" t="str">
        <f t="shared" si="46"/>
        <v/>
      </c>
      <c r="M223" s="17"/>
      <c r="N223" s="17"/>
      <c r="O223" s="18"/>
      <c r="P223" s="12">
        <v>30</v>
      </c>
      <c r="Q223" s="19"/>
      <c r="R223" s="19"/>
    </row>
    <row r="224" spans="1:18" hidden="1" x14ac:dyDescent="0.25">
      <c r="A224" s="12"/>
      <c r="B224" s="13"/>
      <c r="C224" s="14"/>
      <c r="D224" s="14"/>
      <c r="E224" s="15"/>
      <c r="F224" s="12"/>
      <c r="G224" s="15"/>
      <c r="H224" s="14"/>
      <c r="I224" s="15"/>
      <c r="J224" s="12"/>
      <c r="K224" s="12"/>
      <c r="L224" s="16" t="str">
        <f t="shared" si="46"/>
        <v/>
      </c>
      <c r="M224" s="17"/>
      <c r="N224" s="17"/>
      <c r="O224" s="18"/>
      <c r="P224" s="12">
        <v>30</v>
      </c>
      <c r="Q224" s="19"/>
      <c r="R224" s="19"/>
    </row>
    <row r="225" spans="1:18" hidden="1" x14ac:dyDescent="0.25">
      <c r="A225" s="12"/>
      <c r="B225" s="13"/>
      <c r="C225" s="14"/>
      <c r="D225" s="14"/>
      <c r="E225" s="15"/>
      <c r="F225" s="12"/>
      <c r="G225" s="15"/>
      <c r="H225" s="14"/>
      <c r="I225" s="15"/>
      <c r="J225" s="14"/>
      <c r="K225" s="14"/>
      <c r="L225" s="16" t="str">
        <f t="shared" si="46"/>
        <v/>
      </c>
      <c r="M225" s="17"/>
      <c r="N225" s="17"/>
      <c r="O225" s="18"/>
      <c r="P225" s="12">
        <v>30</v>
      </c>
      <c r="Q225" s="19"/>
      <c r="R225" s="19"/>
    </row>
    <row r="226" spans="1:18" hidden="1" x14ac:dyDescent="0.25">
      <c r="A226" s="12"/>
      <c r="B226" s="13"/>
      <c r="C226" s="14"/>
      <c r="D226" s="14"/>
      <c r="E226" s="15"/>
      <c r="F226" s="12"/>
      <c r="G226" s="15"/>
      <c r="H226" s="14"/>
      <c r="I226" s="15"/>
      <c r="J226" s="14"/>
      <c r="K226" s="14"/>
      <c r="L226" s="16" t="str">
        <f t="shared" si="46"/>
        <v/>
      </c>
      <c r="M226" s="17"/>
      <c r="N226" s="17"/>
      <c r="O226" s="18"/>
      <c r="P226" s="12">
        <v>30</v>
      </c>
      <c r="Q226" s="19"/>
      <c r="R226" s="19"/>
    </row>
    <row r="227" spans="1:18" hidden="1" x14ac:dyDescent="0.25">
      <c r="A227" s="12"/>
      <c r="B227" s="13"/>
      <c r="C227" s="14"/>
      <c r="D227" s="14"/>
      <c r="E227" s="15"/>
      <c r="F227" s="12"/>
      <c r="G227" s="15"/>
      <c r="H227" s="14"/>
      <c r="I227" s="15"/>
      <c r="J227" s="14"/>
      <c r="K227" s="14"/>
      <c r="L227" s="16" t="str">
        <f>IF(J227&lt;&gt;"",J227*K227,"")</f>
        <v/>
      </c>
      <c r="M227" s="17"/>
      <c r="N227" s="17"/>
      <c r="O227" s="18"/>
      <c r="P227" s="12">
        <v>30</v>
      </c>
      <c r="Q227" s="19"/>
      <c r="R227" s="19"/>
    </row>
    <row r="228" spans="1:18" hidden="1" x14ac:dyDescent="0.25">
      <c r="A228" s="12"/>
      <c r="B228" s="13"/>
      <c r="C228" s="14"/>
      <c r="D228" s="14"/>
      <c r="E228" s="15"/>
      <c r="F228" s="12"/>
      <c r="G228" s="15"/>
      <c r="H228" s="14"/>
      <c r="I228" s="15"/>
      <c r="J228" s="14"/>
      <c r="K228" s="14"/>
      <c r="L228" s="16" t="str">
        <f t="shared" ref="L228:L229" si="47">IF(J228&lt;&gt;"",J228*K228,"")</f>
        <v/>
      </c>
      <c r="M228" s="17"/>
      <c r="N228" s="17"/>
      <c r="O228" s="18"/>
      <c r="P228" s="12">
        <v>30</v>
      </c>
      <c r="Q228" s="19"/>
      <c r="R228" s="19"/>
    </row>
    <row r="229" spans="1:18" hidden="1" x14ac:dyDescent="0.25">
      <c r="A229" s="12"/>
      <c r="B229" s="13"/>
      <c r="C229" s="14"/>
      <c r="D229" s="14"/>
      <c r="E229" s="15"/>
      <c r="F229" s="12"/>
      <c r="G229" s="15"/>
      <c r="H229" s="14"/>
      <c r="I229" s="15"/>
      <c r="J229" s="14"/>
      <c r="K229" s="14"/>
      <c r="L229" s="16" t="str">
        <f t="shared" si="47"/>
        <v/>
      </c>
      <c r="M229" s="17"/>
      <c r="N229" s="17"/>
      <c r="O229" s="18"/>
      <c r="P229" s="12">
        <v>30</v>
      </c>
      <c r="Q229" s="19"/>
      <c r="R229" s="19"/>
    </row>
    <row r="230" spans="1:18" hidden="1" x14ac:dyDescent="0.25">
      <c r="A230" s="5"/>
      <c r="B230" s="6"/>
      <c r="C230" s="7"/>
      <c r="D230" s="7"/>
      <c r="E230" s="8"/>
      <c r="F230" s="7"/>
      <c r="G230" s="8" t="s">
        <v>84</v>
      </c>
      <c r="H230" s="7"/>
      <c r="I230" s="8"/>
      <c r="J230" s="9"/>
      <c r="K230" s="9"/>
      <c r="L230" s="9"/>
      <c r="M230" s="10"/>
      <c r="N230" s="10"/>
      <c r="O230" s="11"/>
      <c r="P230" s="9">
        <v>31</v>
      </c>
      <c r="Q230" s="11"/>
      <c r="R230" s="11"/>
    </row>
    <row r="231" spans="1:18" hidden="1" x14ac:dyDescent="0.25">
      <c r="A231" s="12"/>
      <c r="B231" s="13"/>
      <c r="C231" s="14"/>
      <c r="D231" s="14"/>
      <c r="E231" s="15"/>
      <c r="F231" s="12"/>
      <c r="G231" s="15"/>
      <c r="H231" s="14"/>
      <c r="I231" s="15"/>
      <c r="J231" s="14"/>
      <c r="K231" s="14"/>
      <c r="L231" s="16" t="str">
        <f t="shared" ref="L231:L235" si="48">IF(J231&lt;&gt;"",J231*K231,"")</f>
        <v/>
      </c>
      <c r="M231" s="17"/>
      <c r="N231" s="17"/>
      <c r="O231" s="18"/>
      <c r="P231" s="12">
        <v>31</v>
      </c>
      <c r="Q231" s="19"/>
      <c r="R231" s="19"/>
    </row>
    <row r="232" spans="1:18" hidden="1" x14ac:dyDescent="0.25">
      <c r="A232" s="12"/>
      <c r="B232" s="13"/>
      <c r="C232" s="14"/>
      <c r="D232" s="14"/>
      <c r="E232" s="15"/>
      <c r="F232" s="12"/>
      <c r="G232" s="15"/>
      <c r="H232" s="14"/>
      <c r="I232" s="15"/>
      <c r="J232" s="14"/>
      <c r="K232" s="14"/>
      <c r="L232" s="16" t="str">
        <f t="shared" si="48"/>
        <v/>
      </c>
      <c r="M232" s="17"/>
      <c r="N232" s="17"/>
      <c r="O232" s="18"/>
      <c r="P232" s="12">
        <v>31</v>
      </c>
      <c r="Q232" s="19"/>
      <c r="R232" s="19"/>
    </row>
    <row r="233" spans="1:18" hidden="1" x14ac:dyDescent="0.25">
      <c r="A233" s="12"/>
      <c r="B233" s="13"/>
      <c r="C233" s="14"/>
      <c r="D233" s="14"/>
      <c r="E233" s="15"/>
      <c r="F233" s="12"/>
      <c r="G233" s="15"/>
      <c r="H233" s="14"/>
      <c r="I233" s="15"/>
      <c r="J233" s="12"/>
      <c r="K233" s="12"/>
      <c r="L233" s="16" t="str">
        <f t="shared" si="48"/>
        <v/>
      </c>
      <c r="M233" s="17"/>
      <c r="N233" s="17"/>
      <c r="O233" s="18"/>
      <c r="P233" s="12">
        <v>31</v>
      </c>
      <c r="Q233" s="19"/>
      <c r="R233" s="19"/>
    </row>
    <row r="234" spans="1:18" hidden="1" x14ac:dyDescent="0.25">
      <c r="A234" s="12"/>
      <c r="B234" s="13"/>
      <c r="C234" s="14"/>
      <c r="D234" s="14"/>
      <c r="E234" s="15"/>
      <c r="F234" s="12"/>
      <c r="G234" s="15"/>
      <c r="H234" s="14"/>
      <c r="I234" s="15"/>
      <c r="J234" s="14"/>
      <c r="K234" s="14"/>
      <c r="L234" s="16" t="str">
        <f t="shared" si="48"/>
        <v/>
      </c>
      <c r="M234" s="17"/>
      <c r="N234" s="17"/>
      <c r="O234" s="18"/>
      <c r="P234" s="12">
        <v>31</v>
      </c>
      <c r="Q234" s="19"/>
      <c r="R234" s="19"/>
    </row>
    <row r="235" spans="1:18" hidden="1" x14ac:dyDescent="0.25">
      <c r="A235" s="12"/>
      <c r="B235" s="13"/>
      <c r="C235" s="14"/>
      <c r="D235" s="14"/>
      <c r="E235" s="15"/>
      <c r="F235" s="12"/>
      <c r="G235" s="15"/>
      <c r="H235" s="14"/>
      <c r="I235" s="15"/>
      <c r="J235" s="14"/>
      <c r="K235" s="14"/>
      <c r="L235" s="16" t="str">
        <f t="shared" si="48"/>
        <v/>
      </c>
      <c r="M235" s="17"/>
      <c r="N235" s="17"/>
      <c r="O235" s="18"/>
      <c r="P235" s="12">
        <v>31</v>
      </c>
      <c r="Q235" s="19"/>
      <c r="R235" s="19"/>
    </row>
    <row r="236" spans="1:18" hidden="1" x14ac:dyDescent="0.25">
      <c r="A236" s="12"/>
      <c r="B236" s="13"/>
      <c r="C236" s="14"/>
      <c r="D236" s="14"/>
      <c r="E236" s="15"/>
      <c r="F236" s="12"/>
      <c r="G236" s="15"/>
      <c r="H236" s="14"/>
      <c r="I236" s="15"/>
      <c r="J236" s="14"/>
      <c r="K236" s="14"/>
      <c r="L236" s="16" t="str">
        <f>IF(J236&lt;&gt;"",J236*K236,"")</f>
        <v/>
      </c>
      <c r="M236" s="17"/>
      <c r="N236" s="17"/>
      <c r="O236" s="18"/>
      <c r="P236" s="12">
        <v>31</v>
      </c>
      <c r="Q236" s="19"/>
      <c r="R236" s="19"/>
    </row>
    <row r="237" spans="1:18" hidden="1" x14ac:dyDescent="0.25">
      <c r="A237" s="12"/>
      <c r="B237" s="13"/>
      <c r="C237" s="14"/>
      <c r="D237" s="14"/>
      <c r="E237" s="15"/>
      <c r="F237" s="12"/>
      <c r="G237" s="15"/>
      <c r="H237" s="14"/>
      <c r="I237" s="15"/>
      <c r="J237" s="14"/>
      <c r="K237" s="14"/>
      <c r="L237" s="16" t="str">
        <f t="shared" ref="L237:L238" si="49">IF(J237&lt;&gt;"",J237*K237,"")</f>
        <v/>
      </c>
      <c r="M237" s="17"/>
      <c r="N237" s="17"/>
      <c r="O237" s="18"/>
      <c r="P237" s="12">
        <v>31</v>
      </c>
      <c r="Q237" s="19"/>
      <c r="R237" s="19"/>
    </row>
    <row r="238" spans="1:18" hidden="1" x14ac:dyDescent="0.25">
      <c r="A238" s="12"/>
      <c r="B238" s="13"/>
      <c r="C238" s="14"/>
      <c r="D238" s="14"/>
      <c r="E238" s="15"/>
      <c r="F238" s="12"/>
      <c r="G238" s="15"/>
      <c r="H238" s="14"/>
      <c r="I238" s="15"/>
      <c r="J238" s="14"/>
      <c r="K238" s="14"/>
      <c r="L238" s="16" t="str">
        <f t="shared" si="49"/>
        <v/>
      </c>
      <c r="M238" s="17"/>
      <c r="N238" s="17"/>
      <c r="O238" s="18"/>
      <c r="P238" s="12">
        <v>31</v>
      </c>
      <c r="Q238" s="19"/>
      <c r="R238" s="19"/>
    </row>
    <row r="239" spans="1:18" hidden="1" x14ac:dyDescent="0.25">
      <c r="A239" s="5"/>
      <c r="B239" s="6"/>
      <c r="C239" s="7"/>
      <c r="D239" s="7"/>
      <c r="E239" s="8"/>
      <c r="F239" s="7"/>
      <c r="G239" s="8" t="s">
        <v>85</v>
      </c>
      <c r="H239" s="7"/>
      <c r="I239" s="8"/>
      <c r="J239" s="9"/>
      <c r="K239" s="9"/>
      <c r="L239" s="9"/>
      <c r="M239" s="10"/>
      <c r="N239" s="10"/>
      <c r="O239" s="11"/>
      <c r="P239" s="9">
        <v>32</v>
      </c>
      <c r="Q239" s="11"/>
      <c r="R239" s="11"/>
    </row>
    <row r="240" spans="1:18" hidden="1" x14ac:dyDescent="0.25">
      <c r="A240" s="12"/>
      <c r="B240" s="13"/>
      <c r="C240" s="14"/>
      <c r="D240" s="14"/>
      <c r="E240" s="15"/>
      <c r="F240" s="12"/>
      <c r="G240" s="15"/>
      <c r="H240" s="14"/>
      <c r="I240" s="15"/>
      <c r="J240" s="14"/>
      <c r="K240" s="14"/>
      <c r="L240" s="16" t="str">
        <f t="shared" ref="L240:L244" si="50">IF(J240&lt;&gt;"",J240*K240,"")</f>
        <v/>
      </c>
      <c r="M240" s="17"/>
      <c r="N240" s="17"/>
      <c r="O240" s="18"/>
      <c r="P240" s="12">
        <v>32</v>
      </c>
      <c r="Q240" s="19"/>
      <c r="R240" s="19"/>
    </row>
    <row r="241" spans="1:18" hidden="1" x14ac:dyDescent="0.25">
      <c r="A241" s="12"/>
      <c r="B241" s="13"/>
      <c r="C241" s="14"/>
      <c r="D241" s="14"/>
      <c r="E241" s="15"/>
      <c r="F241" s="12"/>
      <c r="G241" s="15"/>
      <c r="H241" s="14"/>
      <c r="I241" s="15"/>
      <c r="J241" s="14"/>
      <c r="K241" s="14"/>
      <c r="L241" s="16" t="str">
        <f t="shared" si="50"/>
        <v/>
      </c>
      <c r="M241" s="17"/>
      <c r="N241" s="17"/>
      <c r="O241" s="18"/>
      <c r="P241" s="12">
        <v>32</v>
      </c>
      <c r="Q241" s="19"/>
      <c r="R241" s="19"/>
    </row>
    <row r="242" spans="1:18" hidden="1" x14ac:dyDescent="0.25">
      <c r="A242" s="12"/>
      <c r="B242" s="13"/>
      <c r="C242" s="14"/>
      <c r="D242" s="14"/>
      <c r="E242" s="15"/>
      <c r="F242" s="12"/>
      <c r="G242" s="15"/>
      <c r="H242" s="14"/>
      <c r="I242" s="15"/>
      <c r="J242" s="12"/>
      <c r="K242" s="12"/>
      <c r="L242" s="16" t="str">
        <f t="shared" si="50"/>
        <v/>
      </c>
      <c r="M242" s="17"/>
      <c r="N242" s="17"/>
      <c r="O242" s="18"/>
      <c r="P242" s="12">
        <v>32</v>
      </c>
      <c r="Q242" s="19"/>
      <c r="R242" s="19"/>
    </row>
    <row r="243" spans="1:18" hidden="1" x14ac:dyDescent="0.25">
      <c r="A243" s="12"/>
      <c r="B243" s="13"/>
      <c r="C243" s="14"/>
      <c r="D243" s="14"/>
      <c r="E243" s="15"/>
      <c r="F243" s="12"/>
      <c r="G243" s="15"/>
      <c r="H243" s="14"/>
      <c r="I243" s="15"/>
      <c r="J243" s="14"/>
      <c r="K243" s="14"/>
      <c r="L243" s="16" t="str">
        <f t="shared" si="50"/>
        <v/>
      </c>
      <c r="M243" s="17"/>
      <c r="N243" s="17"/>
      <c r="O243" s="18"/>
      <c r="P243" s="12">
        <v>32</v>
      </c>
      <c r="Q243" s="19"/>
      <c r="R243" s="19"/>
    </row>
    <row r="244" spans="1:18" hidden="1" x14ac:dyDescent="0.25">
      <c r="A244" s="12"/>
      <c r="B244" s="13"/>
      <c r="C244" s="14"/>
      <c r="D244" s="14"/>
      <c r="E244" s="15"/>
      <c r="F244" s="12"/>
      <c r="G244" s="15"/>
      <c r="H244" s="14"/>
      <c r="I244" s="15"/>
      <c r="J244" s="14"/>
      <c r="K244" s="14"/>
      <c r="L244" s="16" t="str">
        <f t="shared" si="50"/>
        <v/>
      </c>
      <c r="M244" s="17"/>
      <c r="N244" s="17"/>
      <c r="O244" s="18"/>
      <c r="P244" s="12">
        <v>32</v>
      </c>
      <c r="Q244" s="19"/>
      <c r="R244" s="19"/>
    </row>
    <row r="245" spans="1:18" hidden="1" x14ac:dyDescent="0.25">
      <c r="A245" s="12"/>
      <c r="B245" s="13"/>
      <c r="C245" s="14"/>
      <c r="D245" s="14"/>
      <c r="E245" s="15"/>
      <c r="F245" s="12"/>
      <c r="G245" s="15"/>
      <c r="H245" s="14"/>
      <c r="I245" s="15"/>
      <c r="J245" s="14"/>
      <c r="K245" s="14"/>
      <c r="L245" s="16" t="str">
        <f>IF(J245&lt;&gt;"",J245*K245,"")</f>
        <v/>
      </c>
      <c r="M245" s="17"/>
      <c r="N245" s="17"/>
      <c r="O245" s="18"/>
      <c r="P245" s="12">
        <v>32</v>
      </c>
      <c r="Q245" s="19"/>
      <c r="R245" s="19"/>
    </row>
    <row r="246" spans="1:18" hidden="1" x14ac:dyDescent="0.25">
      <c r="A246" s="12"/>
      <c r="B246" s="13"/>
      <c r="C246" s="14"/>
      <c r="D246" s="14"/>
      <c r="E246" s="15"/>
      <c r="F246" s="12"/>
      <c r="G246" s="15"/>
      <c r="H246" s="14"/>
      <c r="I246" s="15"/>
      <c r="J246" s="14"/>
      <c r="K246" s="14"/>
      <c r="L246" s="16" t="str">
        <f t="shared" ref="L246:L247" si="51">IF(J246&lt;&gt;"",J246*K246,"")</f>
        <v/>
      </c>
      <c r="M246" s="17"/>
      <c r="N246" s="17"/>
      <c r="O246" s="18"/>
      <c r="P246" s="12">
        <v>32</v>
      </c>
      <c r="Q246" s="19"/>
      <c r="R246" s="19"/>
    </row>
    <row r="247" spans="1:18" hidden="1" x14ac:dyDescent="0.25">
      <c r="A247" s="12"/>
      <c r="B247" s="13"/>
      <c r="C247" s="14"/>
      <c r="D247" s="14"/>
      <c r="E247" s="15"/>
      <c r="F247" s="12"/>
      <c r="G247" s="15"/>
      <c r="H247" s="14"/>
      <c r="I247" s="15"/>
      <c r="J247" s="14"/>
      <c r="K247" s="14"/>
      <c r="L247" s="16" t="str">
        <f t="shared" si="51"/>
        <v/>
      </c>
      <c r="M247" s="17"/>
      <c r="N247" s="17"/>
      <c r="O247" s="18"/>
      <c r="P247" s="12">
        <v>32</v>
      </c>
      <c r="Q247" s="19"/>
      <c r="R247" s="19"/>
    </row>
    <row r="248" spans="1:18" hidden="1" x14ac:dyDescent="0.25">
      <c r="A248" s="5"/>
      <c r="B248" s="6"/>
      <c r="C248" s="7"/>
      <c r="D248" s="7"/>
      <c r="E248" s="8"/>
      <c r="F248" s="7"/>
      <c r="G248" s="8" t="s">
        <v>86</v>
      </c>
      <c r="H248" s="7"/>
      <c r="I248" s="8"/>
      <c r="J248" s="9"/>
      <c r="K248" s="9"/>
      <c r="L248" s="9"/>
      <c r="M248" s="10"/>
      <c r="N248" s="10"/>
      <c r="O248" s="11"/>
      <c r="P248" s="9">
        <v>33</v>
      </c>
      <c r="Q248" s="11"/>
      <c r="R248" s="11"/>
    </row>
    <row r="249" spans="1:18" hidden="1" x14ac:dyDescent="0.25">
      <c r="A249" s="12"/>
      <c r="B249" s="13"/>
      <c r="C249" s="14"/>
      <c r="D249" s="14"/>
      <c r="E249" s="15"/>
      <c r="F249" s="12"/>
      <c r="G249" s="15"/>
      <c r="H249" s="14"/>
      <c r="I249" s="15"/>
      <c r="J249" s="14"/>
      <c r="K249" s="14"/>
      <c r="L249" s="16" t="str">
        <f t="shared" ref="L249:L253" si="52">IF(J249&lt;&gt;"",J249*K249,"")</f>
        <v/>
      </c>
      <c r="M249" s="17"/>
      <c r="N249" s="17"/>
      <c r="O249" s="18"/>
      <c r="P249" s="12">
        <v>33</v>
      </c>
      <c r="Q249" s="19"/>
      <c r="R249" s="19"/>
    </row>
    <row r="250" spans="1:18" hidden="1" x14ac:dyDescent="0.25">
      <c r="A250" s="12"/>
      <c r="B250" s="13"/>
      <c r="C250" s="14"/>
      <c r="D250" s="14"/>
      <c r="E250" s="15"/>
      <c r="F250" s="12"/>
      <c r="G250" s="15"/>
      <c r="H250" s="14"/>
      <c r="I250" s="15"/>
      <c r="J250" s="14"/>
      <c r="K250" s="14"/>
      <c r="L250" s="16" t="str">
        <f t="shared" si="52"/>
        <v/>
      </c>
      <c r="M250" s="17"/>
      <c r="N250" s="17"/>
      <c r="O250" s="18"/>
      <c r="P250" s="12">
        <v>33</v>
      </c>
      <c r="Q250" s="19"/>
      <c r="R250" s="19"/>
    </row>
    <row r="251" spans="1:18" hidden="1" x14ac:dyDescent="0.25">
      <c r="A251" s="12"/>
      <c r="B251" s="13"/>
      <c r="C251" s="14"/>
      <c r="D251" s="14"/>
      <c r="E251" s="15"/>
      <c r="F251" s="12"/>
      <c r="G251" s="15"/>
      <c r="H251" s="14"/>
      <c r="I251" s="15"/>
      <c r="J251" s="12"/>
      <c r="K251" s="12"/>
      <c r="L251" s="16" t="str">
        <f t="shared" si="52"/>
        <v/>
      </c>
      <c r="M251" s="17"/>
      <c r="N251" s="17"/>
      <c r="O251" s="18"/>
      <c r="P251" s="12">
        <v>33</v>
      </c>
      <c r="Q251" s="19"/>
      <c r="R251" s="19"/>
    </row>
    <row r="252" spans="1:18" hidden="1" x14ac:dyDescent="0.25">
      <c r="A252" s="12"/>
      <c r="B252" s="13"/>
      <c r="C252" s="14"/>
      <c r="D252" s="14"/>
      <c r="E252" s="15"/>
      <c r="F252" s="12"/>
      <c r="G252" s="15"/>
      <c r="H252" s="14"/>
      <c r="I252" s="15"/>
      <c r="J252" s="14"/>
      <c r="K252" s="14"/>
      <c r="L252" s="16" t="str">
        <f t="shared" si="52"/>
        <v/>
      </c>
      <c r="M252" s="17"/>
      <c r="N252" s="17"/>
      <c r="O252" s="18"/>
      <c r="P252" s="12">
        <v>33</v>
      </c>
      <c r="Q252" s="19"/>
      <c r="R252" s="19"/>
    </row>
    <row r="253" spans="1:18" hidden="1" x14ac:dyDescent="0.25">
      <c r="A253" s="12"/>
      <c r="B253" s="13"/>
      <c r="C253" s="14"/>
      <c r="D253" s="14"/>
      <c r="E253" s="15"/>
      <c r="F253" s="12"/>
      <c r="G253" s="15"/>
      <c r="H253" s="14"/>
      <c r="I253" s="15"/>
      <c r="J253" s="14"/>
      <c r="K253" s="14"/>
      <c r="L253" s="16" t="str">
        <f t="shared" si="52"/>
        <v/>
      </c>
      <c r="M253" s="17"/>
      <c r="N253" s="17"/>
      <c r="O253" s="18"/>
      <c r="P253" s="12">
        <v>33</v>
      </c>
      <c r="Q253" s="19"/>
      <c r="R253" s="19"/>
    </row>
    <row r="254" spans="1:18" hidden="1" x14ac:dyDescent="0.25">
      <c r="A254" s="12"/>
      <c r="B254" s="13"/>
      <c r="C254" s="14"/>
      <c r="D254" s="14"/>
      <c r="E254" s="15"/>
      <c r="F254" s="12"/>
      <c r="G254" s="15"/>
      <c r="H254" s="14"/>
      <c r="I254" s="15"/>
      <c r="J254" s="14"/>
      <c r="K254" s="14"/>
      <c r="L254" s="16" t="str">
        <f>IF(J254&lt;&gt;"",J254*K254,"")</f>
        <v/>
      </c>
      <c r="M254" s="17"/>
      <c r="N254" s="17"/>
      <c r="O254" s="18"/>
      <c r="P254" s="12">
        <v>33</v>
      </c>
      <c r="Q254" s="19"/>
      <c r="R254" s="19"/>
    </row>
    <row r="255" spans="1:18" hidden="1" x14ac:dyDescent="0.25">
      <c r="A255" s="12"/>
      <c r="B255" s="13"/>
      <c r="C255" s="14"/>
      <c r="D255" s="14"/>
      <c r="E255" s="15"/>
      <c r="F255" s="12"/>
      <c r="G255" s="15"/>
      <c r="H255" s="14"/>
      <c r="I255" s="15"/>
      <c r="J255" s="14"/>
      <c r="K255" s="14"/>
      <c r="L255" s="16" t="str">
        <f t="shared" ref="L255:L256" si="53">IF(J255&lt;&gt;"",J255*K255,"")</f>
        <v/>
      </c>
      <c r="M255" s="17"/>
      <c r="N255" s="17"/>
      <c r="O255" s="18"/>
      <c r="P255" s="12">
        <v>33</v>
      </c>
      <c r="Q255" s="19"/>
      <c r="R255" s="19"/>
    </row>
    <row r="256" spans="1:18" hidden="1" x14ac:dyDescent="0.25">
      <c r="A256" s="12"/>
      <c r="B256" s="13"/>
      <c r="C256" s="14"/>
      <c r="D256" s="14"/>
      <c r="E256" s="15"/>
      <c r="F256" s="12"/>
      <c r="G256" s="15"/>
      <c r="H256" s="14"/>
      <c r="I256" s="15"/>
      <c r="J256" s="14"/>
      <c r="K256" s="14"/>
      <c r="L256" s="16" t="str">
        <f t="shared" si="53"/>
        <v/>
      </c>
      <c r="M256" s="17"/>
      <c r="N256" s="17"/>
      <c r="O256" s="18"/>
      <c r="P256" s="12">
        <v>33</v>
      </c>
      <c r="Q256" s="19"/>
      <c r="R256" s="19"/>
    </row>
    <row r="257" spans="1:18" hidden="1" x14ac:dyDescent="0.25">
      <c r="A257" s="5"/>
      <c r="B257" s="6"/>
      <c r="C257" s="7"/>
      <c r="D257" s="7"/>
      <c r="E257" s="8"/>
      <c r="F257" s="7"/>
      <c r="G257" s="8" t="s">
        <v>87</v>
      </c>
      <c r="H257" s="7"/>
      <c r="I257" s="8"/>
      <c r="J257" s="9"/>
      <c r="K257" s="9"/>
      <c r="L257" s="9"/>
      <c r="M257" s="10"/>
      <c r="N257" s="10"/>
      <c r="O257" s="11"/>
      <c r="P257" s="9">
        <v>34</v>
      </c>
      <c r="Q257" s="11"/>
      <c r="R257" s="11"/>
    </row>
    <row r="258" spans="1:18" hidden="1" x14ac:dyDescent="0.25">
      <c r="A258" s="12"/>
      <c r="B258" s="13"/>
      <c r="C258" s="14"/>
      <c r="D258" s="14"/>
      <c r="E258" s="15"/>
      <c r="F258" s="12"/>
      <c r="G258" s="15"/>
      <c r="H258" s="14"/>
      <c r="I258" s="15"/>
      <c r="J258" s="14"/>
      <c r="K258" s="14"/>
      <c r="L258" s="16" t="str">
        <f t="shared" ref="L258:L262" si="54">IF(J258&lt;&gt;"",J258*K258,"")</f>
        <v/>
      </c>
      <c r="M258" s="17"/>
      <c r="N258" s="17"/>
      <c r="O258" s="18"/>
      <c r="P258" s="12">
        <v>34</v>
      </c>
      <c r="Q258" s="19"/>
      <c r="R258" s="19"/>
    </row>
    <row r="259" spans="1:18" hidden="1" x14ac:dyDescent="0.25">
      <c r="A259" s="12"/>
      <c r="B259" s="13"/>
      <c r="C259" s="14"/>
      <c r="D259" s="14"/>
      <c r="E259" s="15"/>
      <c r="F259" s="12"/>
      <c r="G259" s="15"/>
      <c r="H259" s="14"/>
      <c r="I259" s="15"/>
      <c r="J259" s="14"/>
      <c r="K259" s="14"/>
      <c r="L259" s="16" t="str">
        <f t="shared" si="54"/>
        <v/>
      </c>
      <c r="M259" s="17"/>
      <c r="N259" s="17"/>
      <c r="O259" s="18"/>
      <c r="P259" s="12">
        <v>34</v>
      </c>
      <c r="Q259" s="19"/>
      <c r="R259" s="19"/>
    </row>
    <row r="260" spans="1:18" hidden="1" x14ac:dyDescent="0.25">
      <c r="A260" s="12"/>
      <c r="B260" s="13"/>
      <c r="C260" s="14"/>
      <c r="D260" s="14"/>
      <c r="E260" s="15"/>
      <c r="F260" s="12"/>
      <c r="G260" s="15"/>
      <c r="H260" s="14"/>
      <c r="I260" s="15"/>
      <c r="J260" s="12"/>
      <c r="K260" s="12"/>
      <c r="L260" s="16" t="str">
        <f t="shared" si="54"/>
        <v/>
      </c>
      <c r="M260" s="17"/>
      <c r="N260" s="17"/>
      <c r="O260" s="18"/>
      <c r="P260" s="12">
        <v>34</v>
      </c>
      <c r="Q260" s="19"/>
      <c r="R260" s="19"/>
    </row>
    <row r="261" spans="1:18" hidden="1" x14ac:dyDescent="0.25">
      <c r="A261" s="12"/>
      <c r="B261" s="13"/>
      <c r="C261" s="14"/>
      <c r="D261" s="14"/>
      <c r="E261" s="15"/>
      <c r="F261" s="12"/>
      <c r="G261" s="15"/>
      <c r="H261" s="14"/>
      <c r="I261" s="15"/>
      <c r="J261" s="14"/>
      <c r="K261" s="14"/>
      <c r="L261" s="16" t="str">
        <f t="shared" si="54"/>
        <v/>
      </c>
      <c r="M261" s="17"/>
      <c r="N261" s="17"/>
      <c r="O261" s="18"/>
      <c r="P261" s="12">
        <v>34</v>
      </c>
      <c r="Q261" s="19"/>
      <c r="R261" s="19"/>
    </row>
    <row r="262" spans="1:18" hidden="1" x14ac:dyDescent="0.25">
      <c r="A262" s="12"/>
      <c r="B262" s="13"/>
      <c r="C262" s="14"/>
      <c r="D262" s="14"/>
      <c r="E262" s="15"/>
      <c r="F262" s="12"/>
      <c r="G262" s="15"/>
      <c r="H262" s="14"/>
      <c r="I262" s="15"/>
      <c r="J262" s="14"/>
      <c r="K262" s="14"/>
      <c r="L262" s="16" t="str">
        <f t="shared" si="54"/>
        <v/>
      </c>
      <c r="M262" s="17"/>
      <c r="N262" s="17"/>
      <c r="O262" s="18"/>
      <c r="P262" s="12">
        <v>34</v>
      </c>
      <c r="Q262" s="19"/>
      <c r="R262" s="19"/>
    </row>
    <row r="263" spans="1:18" hidden="1" x14ac:dyDescent="0.25">
      <c r="A263" s="12"/>
      <c r="B263" s="13"/>
      <c r="C263" s="14"/>
      <c r="D263" s="14"/>
      <c r="E263" s="15"/>
      <c r="F263" s="12"/>
      <c r="G263" s="15"/>
      <c r="H263" s="14"/>
      <c r="I263" s="15"/>
      <c r="J263" s="14"/>
      <c r="K263" s="14"/>
      <c r="L263" s="16" t="str">
        <f>IF(J263&lt;&gt;"",J263*K263,"")</f>
        <v/>
      </c>
      <c r="M263" s="17"/>
      <c r="N263" s="17"/>
      <c r="O263" s="18"/>
      <c r="P263" s="12">
        <v>34</v>
      </c>
      <c r="Q263" s="19"/>
      <c r="R263" s="19"/>
    </row>
    <row r="264" spans="1:18" hidden="1" x14ac:dyDescent="0.25">
      <c r="A264" s="12"/>
      <c r="B264" s="13"/>
      <c r="C264" s="14"/>
      <c r="D264" s="14"/>
      <c r="E264" s="15"/>
      <c r="F264" s="12"/>
      <c r="G264" s="15"/>
      <c r="H264" s="14"/>
      <c r="I264" s="15"/>
      <c r="J264" s="14"/>
      <c r="K264" s="14"/>
      <c r="L264" s="16" t="str">
        <f t="shared" ref="L264:L265" si="55">IF(J264&lt;&gt;"",J264*K264,"")</f>
        <v/>
      </c>
      <c r="M264" s="17"/>
      <c r="N264" s="17"/>
      <c r="O264" s="18"/>
      <c r="P264" s="12">
        <v>34</v>
      </c>
      <c r="Q264" s="19"/>
      <c r="R264" s="19"/>
    </row>
    <row r="265" spans="1:18" hidden="1" x14ac:dyDescent="0.25">
      <c r="A265" s="12"/>
      <c r="B265" s="13"/>
      <c r="C265" s="14"/>
      <c r="D265" s="14"/>
      <c r="E265" s="15"/>
      <c r="F265" s="12"/>
      <c r="G265" s="15"/>
      <c r="H265" s="14"/>
      <c r="I265" s="15"/>
      <c r="J265" s="14"/>
      <c r="K265" s="14"/>
      <c r="L265" s="16" t="str">
        <f t="shared" si="55"/>
        <v/>
      </c>
      <c r="M265" s="17"/>
      <c r="N265" s="17"/>
      <c r="O265" s="18"/>
      <c r="P265" s="12">
        <v>34</v>
      </c>
      <c r="Q265" s="19"/>
      <c r="R265" s="19"/>
    </row>
    <row r="266" spans="1:18" hidden="1" x14ac:dyDescent="0.25">
      <c r="A266" s="5"/>
      <c r="B266" s="6"/>
      <c r="C266" s="7"/>
      <c r="D266" s="7"/>
      <c r="E266" s="8"/>
      <c r="F266" s="7"/>
      <c r="G266" s="8" t="s">
        <v>88</v>
      </c>
      <c r="H266" s="7"/>
      <c r="I266" s="8"/>
      <c r="J266" s="9"/>
      <c r="K266" s="9"/>
      <c r="L266" s="9"/>
      <c r="M266" s="10"/>
      <c r="N266" s="10"/>
      <c r="O266" s="11"/>
      <c r="P266" s="9">
        <v>35</v>
      </c>
      <c r="Q266" s="11"/>
      <c r="R266" s="11"/>
    </row>
    <row r="267" spans="1:18" hidden="1" x14ac:dyDescent="0.25">
      <c r="A267" s="12"/>
      <c r="B267" s="13"/>
      <c r="C267" s="14"/>
      <c r="D267" s="14"/>
      <c r="E267" s="15"/>
      <c r="F267" s="12"/>
      <c r="G267" s="15"/>
      <c r="H267" s="14"/>
      <c r="I267" s="15"/>
      <c r="J267" s="14"/>
      <c r="K267" s="14"/>
      <c r="L267" s="16" t="str">
        <f t="shared" ref="L267:L271" si="56">IF(J267&lt;&gt;"",J267*K267,"")</f>
        <v/>
      </c>
      <c r="M267" s="17"/>
      <c r="N267" s="17"/>
      <c r="O267" s="18"/>
      <c r="P267" s="12">
        <v>35</v>
      </c>
      <c r="Q267" s="19"/>
      <c r="R267" s="19"/>
    </row>
    <row r="268" spans="1:18" hidden="1" x14ac:dyDescent="0.25">
      <c r="A268" s="12"/>
      <c r="B268" s="13"/>
      <c r="C268" s="14"/>
      <c r="D268" s="14"/>
      <c r="E268" s="15"/>
      <c r="F268" s="12"/>
      <c r="G268" s="15"/>
      <c r="H268" s="14"/>
      <c r="I268" s="15"/>
      <c r="J268" s="14"/>
      <c r="K268" s="14"/>
      <c r="L268" s="16" t="str">
        <f t="shared" si="56"/>
        <v/>
      </c>
      <c r="M268" s="17"/>
      <c r="N268" s="17"/>
      <c r="O268" s="18"/>
      <c r="P268" s="12">
        <v>35</v>
      </c>
      <c r="Q268" s="19"/>
      <c r="R268" s="19"/>
    </row>
    <row r="269" spans="1:18" hidden="1" x14ac:dyDescent="0.25">
      <c r="A269" s="12"/>
      <c r="B269" s="13"/>
      <c r="C269" s="14"/>
      <c r="D269" s="14"/>
      <c r="E269" s="15"/>
      <c r="F269" s="12"/>
      <c r="G269" s="15"/>
      <c r="H269" s="14"/>
      <c r="I269" s="15"/>
      <c r="J269" s="12"/>
      <c r="K269" s="12"/>
      <c r="L269" s="16" t="str">
        <f t="shared" si="56"/>
        <v/>
      </c>
      <c r="M269" s="17"/>
      <c r="N269" s="17"/>
      <c r="O269" s="18"/>
      <c r="P269" s="12">
        <v>35</v>
      </c>
      <c r="Q269" s="19"/>
      <c r="R269" s="19"/>
    </row>
    <row r="270" spans="1:18" hidden="1" x14ac:dyDescent="0.25">
      <c r="A270" s="12"/>
      <c r="B270" s="13"/>
      <c r="C270" s="14"/>
      <c r="D270" s="14"/>
      <c r="E270" s="15"/>
      <c r="F270" s="12"/>
      <c r="G270" s="15"/>
      <c r="H270" s="14"/>
      <c r="I270" s="15"/>
      <c r="J270" s="14"/>
      <c r="K270" s="14"/>
      <c r="L270" s="16" t="str">
        <f t="shared" si="56"/>
        <v/>
      </c>
      <c r="M270" s="17"/>
      <c r="N270" s="17"/>
      <c r="O270" s="18"/>
      <c r="P270" s="12">
        <v>35</v>
      </c>
      <c r="Q270" s="19"/>
      <c r="R270" s="19"/>
    </row>
    <row r="271" spans="1:18" hidden="1" x14ac:dyDescent="0.25">
      <c r="A271" s="12"/>
      <c r="B271" s="13"/>
      <c r="C271" s="14"/>
      <c r="D271" s="14"/>
      <c r="E271" s="15"/>
      <c r="F271" s="12"/>
      <c r="G271" s="15"/>
      <c r="H271" s="14"/>
      <c r="I271" s="15"/>
      <c r="J271" s="14"/>
      <c r="K271" s="14"/>
      <c r="L271" s="16" t="str">
        <f t="shared" si="56"/>
        <v/>
      </c>
      <c r="M271" s="17"/>
      <c r="N271" s="17"/>
      <c r="O271" s="18"/>
      <c r="P271" s="12">
        <v>35</v>
      </c>
      <c r="Q271" s="19"/>
      <c r="R271" s="19"/>
    </row>
    <row r="272" spans="1:18" hidden="1" x14ac:dyDescent="0.25">
      <c r="A272" s="12"/>
      <c r="B272" s="13"/>
      <c r="C272" s="14"/>
      <c r="D272" s="14"/>
      <c r="E272" s="15"/>
      <c r="F272" s="12"/>
      <c r="G272" s="15"/>
      <c r="H272" s="14"/>
      <c r="I272" s="15"/>
      <c r="J272" s="14"/>
      <c r="K272" s="14"/>
      <c r="L272" s="16" t="str">
        <f>IF(J272&lt;&gt;"",J272*K272,"")</f>
        <v/>
      </c>
      <c r="M272" s="17"/>
      <c r="N272" s="17"/>
      <c r="O272" s="18"/>
      <c r="P272" s="12">
        <v>35</v>
      </c>
      <c r="Q272" s="19"/>
      <c r="R272" s="19"/>
    </row>
    <row r="273" spans="1:18" hidden="1" x14ac:dyDescent="0.25">
      <c r="A273" s="12"/>
      <c r="B273" s="13"/>
      <c r="C273" s="14"/>
      <c r="D273" s="14"/>
      <c r="E273" s="15"/>
      <c r="F273" s="12"/>
      <c r="G273" s="15"/>
      <c r="H273" s="14"/>
      <c r="I273" s="15"/>
      <c r="J273" s="14"/>
      <c r="K273" s="14"/>
      <c r="L273" s="16" t="str">
        <f t="shared" ref="L273:L274" si="57">IF(J273&lt;&gt;"",J273*K273,"")</f>
        <v/>
      </c>
      <c r="M273" s="17"/>
      <c r="N273" s="17"/>
      <c r="O273" s="18"/>
      <c r="P273" s="12">
        <v>35</v>
      </c>
      <c r="Q273" s="19"/>
      <c r="R273" s="19"/>
    </row>
    <row r="274" spans="1:18" hidden="1" x14ac:dyDescent="0.25">
      <c r="A274" s="12"/>
      <c r="B274" s="13"/>
      <c r="C274" s="14"/>
      <c r="D274" s="14"/>
      <c r="E274" s="15"/>
      <c r="F274" s="12"/>
      <c r="G274" s="15"/>
      <c r="H274" s="14"/>
      <c r="I274" s="15"/>
      <c r="J274" s="14"/>
      <c r="K274" s="14"/>
      <c r="L274" s="16" t="str">
        <f t="shared" si="57"/>
        <v/>
      </c>
      <c r="M274" s="17"/>
      <c r="N274" s="17"/>
      <c r="O274" s="18"/>
      <c r="P274" s="12">
        <v>35</v>
      </c>
      <c r="Q274" s="19"/>
      <c r="R274" s="19"/>
    </row>
    <row r="275" spans="1:18" hidden="1" x14ac:dyDescent="0.25">
      <c r="A275" s="5"/>
      <c r="B275" s="6"/>
      <c r="C275" s="7"/>
      <c r="D275" s="7"/>
      <c r="E275" s="8"/>
      <c r="F275" s="7"/>
      <c r="G275" s="8" t="s">
        <v>89</v>
      </c>
      <c r="H275" s="7"/>
      <c r="I275" s="8"/>
      <c r="J275" s="9"/>
      <c r="K275" s="9"/>
      <c r="L275" s="9"/>
      <c r="M275" s="10"/>
      <c r="N275" s="10"/>
      <c r="O275" s="11"/>
      <c r="P275" s="9">
        <v>36</v>
      </c>
      <c r="Q275" s="11"/>
      <c r="R275" s="11"/>
    </row>
    <row r="276" spans="1:18" hidden="1" x14ac:dyDescent="0.25">
      <c r="A276" s="12"/>
      <c r="B276" s="13"/>
      <c r="C276" s="14"/>
      <c r="D276" s="14"/>
      <c r="E276" s="15"/>
      <c r="F276" s="12"/>
      <c r="G276" s="15"/>
      <c r="H276" s="14"/>
      <c r="I276" s="15"/>
      <c r="J276" s="14"/>
      <c r="K276" s="14"/>
      <c r="L276" s="16" t="str">
        <f t="shared" ref="L276:L280" si="58">IF(J276&lt;&gt;"",J276*K276,"")</f>
        <v/>
      </c>
      <c r="M276" s="17"/>
      <c r="N276" s="17"/>
      <c r="O276" s="18"/>
      <c r="P276" s="12">
        <v>36</v>
      </c>
      <c r="Q276" s="19"/>
      <c r="R276" s="19"/>
    </row>
    <row r="277" spans="1:18" hidden="1" x14ac:dyDescent="0.25">
      <c r="A277" s="12"/>
      <c r="B277" s="13"/>
      <c r="C277" s="14"/>
      <c r="D277" s="14"/>
      <c r="E277" s="15"/>
      <c r="F277" s="12"/>
      <c r="G277" s="15"/>
      <c r="H277" s="14"/>
      <c r="I277" s="15"/>
      <c r="J277" s="14"/>
      <c r="K277" s="14"/>
      <c r="L277" s="16" t="str">
        <f t="shared" si="58"/>
        <v/>
      </c>
      <c r="M277" s="17"/>
      <c r="N277" s="17"/>
      <c r="O277" s="18"/>
      <c r="P277" s="12">
        <v>36</v>
      </c>
      <c r="Q277" s="19"/>
      <c r="R277" s="19"/>
    </row>
    <row r="278" spans="1:18" hidden="1" x14ac:dyDescent="0.25">
      <c r="A278" s="12"/>
      <c r="B278" s="13"/>
      <c r="C278" s="14"/>
      <c r="D278" s="14"/>
      <c r="E278" s="15"/>
      <c r="F278" s="12"/>
      <c r="G278" s="15"/>
      <c r="H278" s="14"/>
      <c r="I278" s="15"/>
      <c r="J278" s="12"/>
      <c r="K278" s="12"/>
      <c r="L278" s="16" t="str">
        <f t="shared" si="58"/>
        <v/>
      </c>
      <c r="M278" s="17"/>
      <c r="N278" s="17"/>
      <c r="O278" s="18"/>
      <c r="P278" s="12">
        <v>36</v>
      </c>
      <c r="Q278" s="19"/>
      <c r="R278" s="19"/>
    </row>
    <row r="279" spans="1:18" hidden="1" x14ac:dyDescent="0.25">
      <c r="A279" s="12"/>
      <c r="B279" s="13"/>
      <c r="C279" s="14"/>
      <c r="D279" s="14"/>
      <c r="E279" s="15"/>
      <c r="F279" s="12"/>
      <c r="G279" s="15"/>
      <c r="H279" s="14"/>
      <c r="I279" s="15"/>
      <c r="J279" s="14"/>
      <c r="K279" s="14"/>
      <c r="L279" s="16" t="str">
        <f t="shared" si="58"/>
        <v/>
      </c>
      <c r="M279" s="17"/>
      <c r="N279" s="17"/>
      <c r="O279" s="18"/>
      <c r="P279" s="12">
        <v>36</v>
      </c>
      <c r="Q279" s="19"/>
      <c r="R279" s="19"/>
    </row>
    <row r="280" spans="1:18" hidden="1" x14ac:dyDescent="0.25">
      <c r="A280" s="12"/>
      <c r="B280" s="13"/>
      <c r="C280" s="14"/>
      <c r="D280" s="14"/>
      <c r="E280" s="15"/>
      <c r="F280" s="12"/>
      <c r="G280" s="15"/>
      <c r="H280" s="14"/>
      <c r="I280" s="15"/>
      <c r="J280" s="14"/>
      <c r="K280" s="14"/>
      <c r="L280" s="16" t="str">
        <f t="shared" si="58"/>
        <v/>
      </c>
      <c r="M280" s="17"/>
      <c r="N280" s="17"/>
      <c r="O280" s="18"/>
      <c r="P280" s="12">
        <v>36</v>
      </c>
      <c r="Q280" s="19"/>
      <c r="R280" s="19"/>
    </row>
    <row r="281" spans="1:18" hidden="1" x14ac:dyDescent="0.25">
      <c r="A281" s="12"/>
      <c r="B281" s="13"/>
      <c r="C281" s="14"/>
      <c r="D281" s="14"/>
      <c r="E281" s="15"/>
      <c r="F281" s="12"/>
      <c r="G281" s="15"/>
      <c r="H281" s="14"/>
      <c r="I281" s="15"/>
      <c r="J281" s="14"/>
      <c r="K281" s="14"/>
      <c r="L281" s="16" t="str">
        <f>IF(J281&lt;&gt;"",J281*K281,"")</f>
        <v/>
      </c>
      <c r="M281" s="17"/>
      <c r="N281" s="17"/>
      <c r="O281" s="18"/>
      <c r="P281" s="12">
        <v>36</v>
      </c>
      <c r="Q281" s="19"/>
      <c r="R281" s="19"/>
    </row>
    <row r="282" spans="1:18" hidden="1" x14ac:dyDescent="0.25">
      <c r="A282" s="12"/>
      <c r="B282" s="13"/>
      <c r="C282" s="14"/>
      <c r="D282" s="14"/>
      <c r="E282" s="15"/>
      <c r="F282" s="12"/>
      <c r="G282" s="15"/>
      <c r="H282" s="14"/>
      <c r="I282" s="15"/>
      <c r="J282" s="14"/>
      <c r="K282" s="14"/>
      <c r="L282" s="16" t="str">
        <f t="shared" ref="L282:L283" si="59">IF(J282&lt;&gt;"",J282*K282,"")</f>
        <v/>
      </c>
      <c r="M282" s="17"/>
      <c r="N282" s="17"/>
      <c r="O282" s="18"/>
      <c r="P282" s="12">
        <v>36</v>
      </c>
      <c r="Q282" s="19"/>
      <c r="R282" s="19"/>
    </row>
    <row r="283" spans="1:18" hidden="1" x14ac:dyDescent="0.25">
      <c r="A283" s="12"/>
      <c r="B283" s="13"/>
      <c r="C283" s="14"/>
      <c r="D283" s="14"/>
      <c r="E283" s="15"/>
      <c r="F283" s="12"/>
      <c r="G283" s="15"/>
      <c r="H283" s="14"/>
      <c r="I283" s="15"/>
      <c r="J283" s="14"/>
      <c r="K283" s="14"/>
      <c r="L283" s="16" t="str">
        <f t="shared" si="59"/>
        <v/>
      </c>
      <c r="M283" s="17"/>
      <c r="N283" s="17"/>
      <c r="O283" s="18"/>
      <c r="P283" s="12">
        <v>36</v>
      </c>
      <c r="Q283" s="19"/>
      <c r="R283" s="19"/>
    </row>
    <row r="284" spans="1:18" hidden="1" x14ac:dyDescent="0.25">
      <c r="A284" s="5"/>
      <c r="B284" s="6"/>
      <c r="C284" s="7"/>
      <c r="D284" s="7"/>
      <c r="E284" s="8"/>
      <c r="F284" s="7"/>
      <c r="G284" s="8" t="s">
        <v>90</v>
      </c>
      <c r="H284" s="7"/>
      <c r="I284" s="8"/>
      <c r="J284" s="9"/>
      <c r="K284" s="9"/>
      <c r="L284" s="9"/>
      <c r="M284" s="10"/>
      <c r="N284" s="10"/>
      <c r="O284" s="11"/>
      <c r="P284" s="9">
        <v>37</v>
      </c>
      <c r="Q284" s="11"/>
      <c r="R284" s="11"/>
    </row>
    <row r="285" spans="1:18" hidden="1" x14ac:dyDescent="0.25">
      <c r="A285" s="12"/>
      <c r="B285" s="13"/>
      <c r="C285" s="14"/>
      <c r="D285" s="14"/>
      <c r="E285" s="15"/>
      <c r="F285" s="12"/>
      <c r="G285" s="15"/>
      <c r="H285" s="14"/>
      <c r="I285" s="15"/>
      <c r="J285" s="14"/>
      <c r="K285" s="14"/>
      <c r="L285" s="16" t="str">
        <f t="shared" ref="L285:L289" si="60">IF(J285&lt;&gt;"",J285*K285,"")</f>
        <v/>
      </c>
      <c r="M285" s="17"/>
      <c r="N285" s="17"/>
      <c r="O285" s="18"/>
      <c r="P285" s="12">
        <v>37</v>
      </c>
      <c r="Q285" s="19"/>
      <c r="R285" s="19"/>
    </row>
    <row r="286" spans="1:18" hidden="1" x14ac:dyDescent="0.25">
      <c r="A286" s="12"/>
      <c r="B286" s="13"/>
      <c r="C286" s="14"/>
      <c r="D286" s="14"/>
      <c r="E286" s="15"/>
      <c r="F286" s="12"/>
      <c r="G286" s="15"/>
      <c r="H286" s="14"/>
      <c r="I286" s="15"/>
      <c r="J286" s="14"/>
      <c r="K286" s="14"/>
      <c r="L286" s="16" t="str">
        <f t="shared" si="60"/>
        <v/>
      </c>
      <c r="M286" s="17"/>
      <c r="N286" s="17"/>
      <c r="O286" s="18"/>
      <c r="P286" s="12">
        <v>37</v>
      </c>
      <c r="Q286" s="19"/>
      <c r="R286" s="19"/>
    </row>
    <row r="287" spans="1:18" hidden="1" x14ac:dyDescent="0.25">
      <c r="A287" s="12"/>
      <c r="B287" s="13"/>
      <c r="C287" s="14"/>
      <c r="D287" s="14"/>
      <c r="E287" s="15"/>
      <c r="F287" s="12"/>
      <c r="G287" s="15"/>
      <c r="H287" s="14"/>
      <c r="I287" s="15"/>
      <c r="J287" s="12"/>
      <c r="K287" s="12"/>
      <c r="L287" s="16" t="str">
        <f t="shared" si="60"/>
        <v/>
      </c>
      <c r="M287" s="17"/>
      <c r="N287" s="17"/>
      <c r="O287" s="18"/>
      <c r="P287" s="12">
        <v>37</v>
      </c>
      <c r="Q287" s="19"/>
      <c r="R287" s="19"/>
    </row>
    <row r="288" spans="1:18" hidden="1" x14ac:dyDescent="0.25">
      <c r="A288" s="12"/>
      <c r="B288" s="13"/>
      <c r="C288" s="14"/>
      <c r="D288" s="14"/>
      <c r="E288" s="15"/>
      <c r="F288" s="12"/>
      <c r="G288" s="15"/>
      <c r="H288" s="14"/>
      <c r="I288" s="15"/>
      <c r="J288" s="14"/>
      <c r="K288" s="14"/>
      <c r="L288" s="16" t="str">
        <f t="shared" si="60"/>
        <v/>
      </c>
      <c r="M288" s="17"/>
      <c r="N288" s="17"/>
      <c r="O288" s="18"/>
      <c r="P288" s="12">
        <v>37</v>
      </c>
      <c r="Q288" s="19"/>
      <c r="R288" s="19"/>
    </row>
    <row r="289" spans="1:18" hidden="1" x14ac:dyDescent="0.25">
      <c r="A289" s="12"/>
      <c r="B289" s="13"/>
      <c r="C289" s="14"/>
      <c r="D289" s="14"/>
      <c r="E289" s="15"/>
      <c r="F289" s="12"/>
      <c r="G289" s="15"/>
      <c r="H289" s="14"/>
      <c r="I289" s="15"/>
      <c r="J289" s="14"/>
      <c r="K289" s="14"/>
      <c r="L289" s="16" t="str">
        <f t="shared" si="60"/>
        <v/>
      </c>
      <c r="M289" s="17"/>
      <c r="N289" s="17"/>
      <c r="O289" s="18"/>
      <c r="P289" s="12">
        <v>37</v>
      </c>
      <c r="Q289" s="19"/>
      <c r="R289" s="19"/>
    </row>
    <row r="290" spans="1:18" hidden="1" x14ac:dyDescent="0.25">
      <c r="A290" s="12"/>
      <c r="B290" s="13"/>
      <c r="C290" s="14"/>
      <c r="D290" s="14"/>
      <c r="E290" s="15"/>
      <c r="F290" s="12"/>
      <c r="G290" s="15"/>
      <c r="H290" s="14"/>
      <c r="I290" s="15"/>
      <c r="J290" s="14"/>
      <c r="K290" s="14"/>
      <c r="L290" s="16" t="str">
        <f>IF(J290&lt;&gt;"",J290*K290,"")</f>
        <v/>
      </c>
      <c r="M290" s="17"/>
      <c r="N290" s="17"/>
      <c r="O290" s="18"/>
      <c r="P290" s="12">
        <v>37</v>
      </c>
      <c r="Q290" s="19"/>
      <c r="R290" s="19"/>
    </row>
    <row r="291" spans="1:18" hidden="1" x14ac:dyDescent="0.25">
      <c r="A291" s="12"/>
      <c r="B291" s="13"/>
      <c r="C291" s="14"/>
      <c r="D291" s="14"/>
      <c r="E291" s="15"/>
      <c r="F291" s="12"/>
      <c r="G291" s="15"/>
      <c r="H291" s="14"/>
      <c r="I291" s="15"/>
      <c r="J291" s="14"/>
      <c r="K291" s="14"/>
      <c r="L291" s="16" t="str">
        <f t="shared" ref="L291:L292" si="61">IF(J291&lt;&gt;"",J291*K291,"")</f>
        <v/>
      </c>
      <c r="M291" s="17"/>
      <c r="N291" s="17"/>
      <c r="O291" s="18"/>
      <c r="P291" s="12">
        <v>37</v>
      </c>
      <c r="Q291" s="19"/>
      <c r="R291" s="19"/>
    </row>
    <row r="292" spans="1:18" hidden="1" x14ac:dyDescent="0.25">
      <c r="A292" s="12"/>
      <c r="B292" s="13"/>
      <c r="C292" s="14"/>
      <c r="D292" s="14"/>
      <c r="E292" s="15"/>
      <c r="F292" s="12"/>
      <c r="G292" s="15"/>
      <c r="H292" s="14"/>
      <c r="I292" s="15"/>
      <c r="J292" s="14"/>
      <c r="K292" s="14"/>
      <c r="L292" s="16" t="str">
        <f t="shared" si="61"/>
        <v/>
      </c>
      <c r="M292" s="17"/>
      <c r="N292" s="17"/>
      <c r="O292" s="18"/>
      <c r="P292" s="12">
        <v>37</v>
      </c>
      <c r="Q292" s="19"/>
      <c r="R292" s="19"/>
    </row>
  </sheetData>
  <autoFilter ref="A1:R292" xr:uid="{B413F2FE-9217-478E-83CC-046961546AB0}">
    <filterColumn colId="15">
      <filters>
        <filter val="22"/>
      </filters>
    </filterColumn>
  </autoFilter>
  <conditionalFormatting sqref="B1:B292">
    <cfRule type="containsText" dxfId="22" priority="1" operator="containsText" text="OK">
      <formula>NOT(ISERROR(SEARCH("OK",B1)))</formula>
    </cfRule>
  </conditionalFormatting>
  <pageMargins left="0.78740157480314965" right="0.59055118110236227" top="0.55118110236220474" bottom="0.74803149606299213" header="0.31496062992125984" footer="0.31496062992125984"/>
  <pageSetup scale="69" orientation="landscape" r:id="rId1"/>
  <rowBreaks count="1" manualBreakCount="1">
    <brk id="125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BBE6-5FED-4C5F-836E-8A6BF3FD82D6}">
  <sheetPr>
    <pageSetUpPr fitToPage="1"/>
  </sheetPr>
  <dimension ref="A1:N131"/>
  <sheetViews>
    <sheetView zoomScaleNormal="100" zoomScaleSheetLayoutView="70" workbookViewId="0">
      <selection activeCell="G21" sqref="G21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0.99900099900099915</v>
      </c>
      <c r="C1" s="23">
        <f>AVERAGE(B1:B7)</f>
        <v>0.99900099900099903</v>
      </c>
      <c r="D1" s="24">
        <f>H23</f>
        <v>1.0009999999999999</v>
      </c>
      <c r="E1" s="21" t="e">
        <f>AVERAGE(F1:F6)</f>
        <v>#REF!</v>
      </c>
      <c r="F1" s="25">
        <f>AVERAGE(J11,J26,J41,J56,J71,J86,J101)</f>
        <v>1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0.99900099900099915</v>
      </c>
      <c r="C2" s="32" t="s">
        <v>21</v>
      </c>
      <c r="D2" s="24">
        <f>H38</f>
        <v>1.0009999999999999</v>
      </c>
      <c r="E2" s="27" t="str">
        <f>SUM(D1:D7)*10&amp;" "&amp;"Horas"&amp;" "&amp;"Hombre"&amp;" "&amp;"Disponibles"&amp;" "&amp;"Semana"</f>
        <v>70,07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0.99900099900099915</v>
      </c>
      <c r="C3" s="27"/>
      <c r="D3" s="24">
        <f>H53</f>
        <v>1.0009999999999999</v>
      </c>
      <c r="E3" s="27" t="str">
        <f>SUM(J23,J38,J53,J68,J83,J98,J113)&amp;" "&amp;"Horas"&amp;" "&amp;"Hombre"&amp;" "&amp;"Programadas"</f>
        <v>70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0.99900099900099915</v>
      </c>
      <c r="C4" s="23">
        <f>1-C1</f>
        <v>9.9900099900096517E-4</v>
      </c>
      <c r="D4" s="24">
        <f>H68</f>
        <v>1.0009999999999999</v>
      </c>
      <c r="E4" s="27" t="str">
        <f>(SUM(D1:D7)*10)-(SUM(J23,J38,J53,J68,J83,J98,J113))&amp;" "&amp;"Horas"&amp;" "&amp;"Atención"&amp;" "&amp;"OT"&amp;" "&amp;"Reactivo"</f>
        <v>0,069999999999979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0.99900099900099915</v>
      </c>
      <c r="C5" s="32" t="s">
        <v>28</v>
      </c>
      <c r="D5" s="24">
        <f>H83</f>
        <v>1.0009999999999999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0.99900099900099915</v>
      </c>
      <c r="C6" s="27"/>
      <c r="D6" s="24">
        <f>H98</f>
        <v>1.0009999999999999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0.99900099900099915</v>
      </c>
      <c r="C7" s="27"/>
      <c r="D7" s="24">
        <f>H113</f>
        <v>1.0009999999999999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352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46153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1</v>
      </c>
      <c r="I11" s="54">
        <f>H11*10</f>
        <v>10</v>
      </c>
      <c r="J11" s="55">
        <f>SUM(J12:J16)/I11</f>
        <v>1</v>
      </c>
      <c r="K11" s="56" t="str">
        <f>SUM(J12:J16)&amp;" "&amp;"Hrs"&amp;" "&amp;"GRUPO 1"</f>
        <v>10 Hrs GRUPO 1</v>
      </c>
      <c r="L11" s="30" t="s">
        <v>19</v>
      </c>
      <c r="M11" s="31" t="s">
        <v>36</v>
      </c>
      <c r="N11" s="57"/>
    </row>
    <row r="12" spans="1:14" x14ac:dyDescent="0.25">
      <c r="A12" s="58">
        <v>937511</v>
      </c>
      <c r="B12" s="12" t="s">
        <v>119</v>
      </c>
      <c r="C12" s="59" t="s">
        <v>120</v>
      </c>
      <c r="D12" s="12">
        <v>3</v>
      </c>
      <c r="E12" s="18" t="s">
        <v>143</v>
      </c>
      <c r="F12" s="58" t="s">
        <v>343</v>
      </c>
      <c r="G12" s="60" t="s">
        <v>175</v>
      </c>
      <c r="H12" s="58">
        <v>1</v>
      </c>
      <c r="I12" s="58">
        <v>5</v>
      </c>
      <c r="J12" s="61">
        <f>IF(H12&lt;&gt;"",H12*I12,"")</f>
        <v>5</v>
      </c>
      <c r="K12" s="62"/>
      <c r="L12" s="30" t="s">
        <v>19</v>
      </c>
      <c r="M12" s="31" t="s">
        <v>36</v>
      </c>
      <c r="N12" s="57"/>
    </row>
    <row r="13" spans="1:14" x14ac:dyDescent="0.25">
      <c r="A13" s="58">
        <v>937719</v>
      </c>
      <c r="B13" s="12" t="s">
        <v>127</v>
      </c>
      <c r="C13" s="59" t="s">
        <v>128</v>
      </c>
      <c r="D13" s="12">
        <v>3</v>
      </c>
      <c r="E13" s="18" t="s">
        <v>344</v>
      </c>
      <c r="F13" s="58" t="s">
        <v>134</v>
      </c>
      <c r="G13" s="60" t="s">
        <v>135</v>
      </c>
      <c r="H13" s="12">
        <v>1</v>
      </c>
      <c r="I13" s="12">
        <v>5</v>
      </c>
      <c r="J13" s="61">
        <f>IF(H13&lt;&gt;"",H13*I13,"")</f>
        <v>5</v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1.0009999999999999</v>
      </c>
      <c r="I23" s="91">
        <f>H23*10</f>
        <v>10.009999999999998</v>
      </c>
      <c r="J23" s="92">
        <f>SUM(J18:J22,J12:J16)</f>
        <v>10</v>
      </c>
      <c r="K23" s="93">
        <f>J23/I23</f>
        <v>0.99900099900099915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46154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1</v>
      </c>
      <c r="I26" s="54">
        <f>H26*10</f>
        <v>10</v>
      </c>
      <c r="J26" s="55">
        <f>SUM(J27:J31)/I26</f>
        <v>1</v>
      </c>
      <c r="K26" s="56" t="str">
        <f>SUM(J27:J31)&amp;" "&amp;"Hrs"&amp;" "&amp;"GRUPO 1"</f>
        <v>10 Hrs GRUPO 1</v>
      </c>
      <c r="L26" s="30" t="s">
        <v>19</v>
      </c>
      <c r="M26" s="31" t="s">
        <v>48</v>
      </c>
      <c r="N26" s="57"/>
    </row>
    <row r="27" spans="1:14" x14ac:dyDescent="0.25">
      <c r="A27" s="58">
        <v>937719</v>
      </c>
      <c r="B27" s="12" t="s">
        <v>127</v>
      </c>
      <c r="C27" s="59" t="s">
        <v>128</v>
      </c>
      <c r="D27" s="12">
        <v>3</v>
      </c>
      <c r="E27" s="18" t="s">
        <v>344</v>
      </c>
      <c r="F27" s="58" t="s">
        <v>134</v>
      </c>
      <c r="G27" s="60" t="s">
        <v>135</v>
      </c>
      <c r="H27" s="12">
        <v>1</v>
      </c>
      <c r="I27" s="12">
        <v>10</v>
      </c>
      <c r="J27" s="61">
        <f>IF(H27&lt;&gt;"",H27*I27,"")</f>
        <v>10</v>
      </c>
      <c r="K27" s="62"/>
      <c r="L27" s="30" t="s">
        <v>19</v>
      </c>
      <c r="M27" s="31" t="s">
        <v>48</v>
      </c>
      <c r="N27" s="57"/>
    </row>
    <row r="28" spans="1:14" x14ac:dyDescent="0.25">
      <c r="A28" s="12"/>
      <c r="B28" s="12"/>
      <c r="C28" s="59"/>
      <c r="D28" s="12"/>
      <c r="E28" s="18"/>
      <c r="F28" s="12"/>
      <c r="G28" s="81"/>
      <c r="H28" s="12"/>
      <c r="I28" s="12"/>
      <c r="J28" s="61" t="str">
        <f>IF(H28&lt;&gt;"",H28*I28,"")</f>
        <v/>
      </c>
      <c r="K28" s="62"/>
      <c r="L28" s="30" t="s">
        <v>19</v>
      </c>
      <c r="M28" s="31" t="s">
        <v>48</v>
      </c>
      <c r="N28" s="57"/>
    </row>
    <row r="29" spans="1:14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1.0009999999999999</v>
      </c>
      <c r="I38" s="91">
        <f>H38*10</f>
        <v>10.009999999999998</v>
      </c>
      <c r="J38" s="92">
        <f>SUM(J33:J37,J27:J31)</f>
        <v>10</v>
      </c>
      <c r="K38" s="93">
        <f>J38/I38</f>
        <v>0.99900099900099915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46155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</v>
      </c>
      <c r="I41" s="54">
        <f>H41*10</f>
        <v>10</v>
      </c>
      <c r="J41" s="55">
        <f>SUM(J42:J46)/I41</f>
        <v>1</v>
      </c>
      <c r="K41" s="56" t="str">
        <f>SUM(J42:J46)&amp;" "&amp;"Hrs"&amp;" "&amp;"GRUPO 1"</f>
        <v>10 Hrs GRUPO 1</v>
      </c>
      <c r="L41" s="30" t="s">
        <v>19</v>
      </c>
      <c r="M41" s="31" t="s">
        <v>49</v>
      </c>
      <c r="N41" s="57"/>
    </row>
    <row r="42" spans="1:14" x14ac:dyDescent="0.25">
      <c r="A42" s="58">
        <v>890464</v>
      </c>
      <c r="B42" s="12" t="s">
        <v>117</v>
      </c>
      <c r="C42" s="59" t="s">
        <v>118</v>
      </c>
      <c r="D42" s="12">
        <v>3</v>
      </c>
      <c r="E42" s="18" t="s">
        <v>111</v>
      </c>
      <c r="F42" s="58" t="s">
        <v>350</v>
      </c>
      <c r="G42" s="60" t="s">
        <v>351</v>
      </c>
      <c r="H42" s="12">
        <v>1</v>
      </c>
      <c r="I42" s="12">
        <v>10</v>
      </c>
      <c r="J42" s="61">
        <f>IF(H42&lt;&gt;"",H42*I42,"")</f>
        <v>10</v>
      </c>
      <c r="K42" s="62"/>
      <c r="L42" s="30" t="s">
        <v>19</v>
      </c>
      <c r="M42" s="31" t="s">
        <v>49</v>
      </c>
      <c r="N42" s="57"/>
    </row>
    <row r="43" spans="1:14" x14ac:dyDescent="0.25">
      <c r="A43" s="58"/>
      <c r="B43" s="12"/>
      <c r="C43" s="59"/>
      <c r="D43" s="12"/>
      <c r="E43" s="18"/>
      <c r="F43" s="58"/>
      <c r="G43" s="60"/>
      <c r="H43" s="12"/>
      <c r="I43" s="12"/>
      <c r="J43" s="61" t="str">
        <f>IF(H43&lt;&gt;"",H43*I43,"")</f>
        <v/>
      </c>
      <c r="K43" s="62"/>
      <c r="L43" s="30" t="s">
        <v>19</v>
      </c>
      <c r="M43" s="31" t="s">
        <v>49</v>
      </c>
      <c r="N43" s="57"/>
    </row>
    <row r="44" spans="1:14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1.0009999999999999</v>
      </c>
      <c r="I53" s="91">
        <f>H53*10</f>
        <v>10.009999999999998</v>
      </c>
      <c r="J53" s="92">
        <f>SUM(J48:J52,J42:J46)</f>
        <v>10</v>
      </c>
      <c r="K53" s="93">
        <f>J53/I53</f>
        <v>0.99900099900099915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46156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1</v>
      </c>
      <c r="I56" s="54">
        <f>H56*10</f>
        <v>10</v>
      </c>
      <c r="J56" s="55">
        <f>SUM(J57:J61)/I56</f>
        <v>1</v>
      </c>
      <c r="K56" s="56" t="str">
        <f>SUM(J57:J61)&amp;" "&amp;"Hrs"&amp;" "&amp;"GRUPO 1"</f>
        <v>10 Hrs GRUPO 1</v>
      </c>
      <c r="L56" s="30" t="s">
        <v>19</v>
      </c>
      <c r="M56" s="31" t="s">
        <v>50</v>
      </c>
      <c r="N56" s="57"/>
    </row>
    <row r="57" spans="1:14" x14ac:dyDescent="0.25">
      <c r="A57" s="58">
        <v>890464</v>
      </c>
      <c r="B57" s="12" t="s">
        <v>117</v>
      </c>
      <c r="C57" s="59" t="s">
        <v>118</v>
      </c>
      <c r="D57" s="12">
        <v>3</v>
      </c>
      <c r="E57" s="18" t="s">
        <v>111</v>
      </c>
      <c r="F57" s="58" t="s">
        <v>350</v>
      </c>
      <c r="G57" s="60" t="s">
        <v>351</v>
      </c>
      <c r="H57" s="12">
        <v>1</v>
      </c>
      <c r="I57" s="12">
        <v>10</v>
      </c>
      <c r="J57" s="61">
        <f>IF(H57&lt;&gt;"",H57*I57,"")</f>
        <v>10</v>
      </c>
      <c r="K57" s="62"/>
      <c r="L57" s="30" t="s">
        <v>19</v>
      </c>
      <c r="M57" s="31" t="s">
        <v>50</v>
      </c>
      <c r="N57" s="57"/>
    </row>
    <row r="58" spans="1:14" x14ac:dyDescent="0.25">
      <c r="A58" s="12"/>
      <c r="B58" s="12"/>
      <c r="C58" s="59"/>
      <c r="D58" s="12"/>
      <c r="E58" s="18"/>
      <c r="F58" s="12"/>
      <c r="G58" s="81"/>
      <c r="H58" s="12"/>
      <c r="I58" s="12"/>
      <c r="J58" s="61" t="str">
        <f>IF(H58&lt;&gt;"",H58*I58,"")</f>
        <v/>
      </c>
      <c r="K58" s="62"/>
      <c r="L58" s="30" t="s">
        <v>19</v>
      </c>
      <c r="M58" s="31" t="s">
        <v>50</v>
      </c>
      <c r="N58" s="57"/>
    </row>
    <row r="59" spans="1:14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1.0009999999999999</v>
      </c>
      <c r="I68" s="91">
        <f>H68*10</f>
        <v>10.009999999999998</v>
      </c>
      <c r="J68" s="92">
        <f>SUM(J63:J67,J57:J61)</f>
        <v>10</v>
      </c>
      <c r="K68" s="93">
        <f>J68/I68</f>
        <v>0.99900099900099915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46157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1</v>
      </c>
      <c r="I71" s="54">
        <f>H71*10</f>
        <v>10</v>
      </c>
      <c r="J71" s="55">
        <f>SUM(J72:J76)/I71</f>
        <v>1</v>
      </c>
      <c r="K71" s="56" t="str">
        <f>SUM(J72:J76)&amp;" "&amp;"Hrs"&amp;" "&amp;"GRUPO 1"</f>
        <v>10 Hrs GRUPO 1</v>
      </c>
      <c r="L71" s="30" t="s">
        <v>19</v>
      </c>
      <c r="M71" s="31" t="s">
        <v>51</v>
      </c>
      <c r="N71" s="57"/>
    </row>
    <row r="72" spans="1:14" x14ac:dyDescent="0.25">
      <c r="A72" s="12">
        <v>890456</v>
      </c>
      <c r="B72" s="12" t="s">
        <v>117</v>
      </c>
      <c r="C72" s="59" t="s">
        <v>118</v>
      </c>
      <c r="D72" s="12">
        <v>3</v>
      </c>
      <c r="E72" s="18" t="s">
        <v>111</v>
      </c>
      <c r="F72" s="12" t="s">
        <v>348</v>
      </c>
      <c r="G72" s="81" t="s">
        <v>349</v>
      </c>
      <c r="H72" s="12">
        <v>1</v>
      </c>
      <c r="I72" s="12">
        <v>10</v>
      </c>
      <c r="J72" s="61">
        <f>IF(H72&lt;&gt;"",H72*I72,"")</f>
        <v>10</v>
      </c>
      <c r="K72" s="62"/>
      <c r="L72" s="30" t="s">
        <v>19</v>
      </c>
      <c r="M72" s="31" t="s">
        <v>51</v>
      </c>
      <c r="N72" s="57"/>
    </row>
    <row r="73" spans="1:14" x14ac:dyDescent="0.25">
      <c r="A73" s="58"/>
      <c r="B73" s="12"/>
      <c r="C73" s="59"/>
      <c r="D73" s="12"/>
      <c r="E73" s="18"/>
      <c r="F73" s="58"/>
      <c r="G73" s="60"/>
      <c r="H73" s="12"/>
      <c r="I73" s="12"/>
      <c r="J73" s="61" t="str">
        <f>IF(H73&lt;&gt;"",H73*I73,"")</f>
        <v/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1.0009999999999999</v>
      </c>
      <c r="I83" s="91">
        <f>H83*10</f>
        <v>10.009999999999998</v>
      </c>
      <c r="J83" s="92">
        <f>SUM(J78:J82,J72:J76)</f>
        <v>10</v>
      </c>
      <c r="K83" s="93">
        <f>J83/I83</f>
        <v>0.99900099900099915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46158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1</v>
      </c>
      <c r="I86" s="54">
        <f>H86*10</f>
        <v>10</v>
      </c>
      <c r="J86" s="55">
        <f>SUM(J87:J91)/I86</f>
        <v>1</v>
      </c>
      <c r="K86" s="56" t="str">
        <f>SUM(J87:J91)&amp;" "&amp;"Hrs"&amp;" "&amp;"GRUPO 1"</f>
        <v>10 Hrs GRUPO 1</v>
      </c>
      <c r="L86" s="30" t="s">
        <v>19</v>
      </c>
      <c r="M86" s="31" t="s">
        <v>52</v>
      </c>
      <c r="N86" s="57"/>
    </row>
    <row r="87" spans="1:14" x14ac:dyDescent="0.25">
      <c r="A87" s="58">
        <v>937511</v>
      </c>
      <c r="B87" s="12" t="s">
        <v>119</v>
      </c>
      <c r="C87" s="59" t="s">
        <v>120</v>
      </c>
      <c r="D87" s="12">
        <v>3</v>
      </c>
      <c r="E87" s="18" t="s">
        <v>143</v>
      </c>
      <c r="F87" s="58" t="s">
        <v>343</v>
      </c>
      <c r="G87" s="60" t="s">
        <v>175</v>
      </c>
      <c r="H87" s="58">
        <v>1</v>
      </c>
      <c r="I87" s="58">
        <v>5</v>
      </c>
      <c r="J87" s="61">
        <f>IF(H87&lt;&gt;"",H87*I87,"")</f>
        <v>5</v>
      </c>
      <c r="K87" s="62"/>
      <c r="L87" s="30" t="s">
        <v>19</v>
      </c>
      <c r="M87" s="31" t="s">
        <v>52</v>
      </c>
      <c r="N87" s="57"/>
    </row>
    <row r="88" spans="1:14" x14ac:dyDescent="0.25">
      <c r="A88" s="58">
        <v>916679</v>
      </c>
      <c r="B88" s="12" t="s">
        <v>127</v>
      </c>
      <c r="C88" s="59" t="s">
        <v>128</v>
      </c>
      <c r="D88" s="12">
        <v>3</v>
      </c>
      <c r="E88" s="18" t="s">
        <v>345</v>
      </c>
      <c r="F88" s="58" t="s">
        <v>346</v>
      </c>
      <c r="G88" s="60" t="s">
        <v>347</v>
      </c>
      <c r="H88" s="12">
        <v>1</v>
      </c>
      <c r="I88" s="12">
        <v>5</v>
      </c>
      <c r="J88" s="61">
        <f>IF(H88&lt;&gt;"",H88*I88,"")</f>
        <v>5</v>
      </c>
      <c r="K88" s="62"/>
      <c r="L88" s="30" t="s">
        <v>19</v>
      </c>
      <c r="M88" s="31" t="s">
        <v>52</v>
      </c>
      <c r="N88" s="57"/>
    </row>
    <row r="89" spans="1:14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1.0009999999999999</v>
      </c>
      <c r="I98" s="91">
        <f>H98*10</f>
        <v>10.009999999999998</v>
      </c>
      <c r="J98" s="92">
        <f>SUM(J87:J91)</f>
        <v>10</v>
      </c>
      <c r="K98" s="93">
        <f>J98/I98</f>
        <v>0.99900099900099915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46159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1</v>
      </c>
      <c r="I101" s="54">
        <f>H101*10</f>
        <v>10</v>
      </c>
      <c r="J101" s="55">
        <f>SUM(J102:J106)/I101</f>
        <v>1</v>
      </c>
      <c r="K101" s="56" t="str">
        <f>SUM(J102:J106)&amp;" "&amp;"Hrs"&amp;" "&amp;"GRUPO 1"</f>
        <v>10 Hrs GRUPO 1</v>
      </c>
      <c r="L101" s="30" t="s">
        <v>19</v>
      </c>
      <c r="M101" s="31" t="s">
        <v>53</v>
      </c>
      <c r="N101" s="57"/>
    </row>
    <row r="102" spans="1:14" x14ac:dyDescent="0.25">
      <c r="A102" s="12">
        <v>890456</v>
      </c>
      <c r="B102" s="12" t="s">
        <v>117</v>
      </c>
      <c r="C102" s="59" t="s">
        <v>118</v>
      </c>
      <c r="D102" s="12">
        <v>3</v>
      </c>
      <c r="E102" s="18" t="s">
        <v>111</v>
      </c>
      <c r="F102" s="12" t="s">
        <v>348</v>
      </c>
      <c r="G102" s="81" t="s">
        <v>349</v>
      </c>
      <c r="H102" s="12">
        <v>1</v>
      </c>
      <c r="I102" s="12">
        <v>10</v>
      </c>
      <c r="J102" s="61">
        <f>IF(H102&lt;&gt;"",H102*I102,"")</f>
        <v>10</v>
      </c>
      <c r="K102" s="62"/>
      <c r="L102" s="30" t="s">
        <v>19</v>
      </c>
      <c r="M102" s="31" t="s">
        <v>53</v>
      </c>
      <c r="N102" s="110"/>
    </row>
    <row r="103" spans="1:14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1.0009999999999999</v>
      </c>
      <c r="I113" s="92">
        <f>H113*10</f>
        <v>10.009999999999998</v>
      </c>
      <c r="J113" s="92">
        <f>SUM(J108:J112,J102:J106)</f>
        <v>10</v>
      </c>
      <c r="K113" s="93">
        <f>J113/I113</f>
        <v>0.99900099900099915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/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21" priority="1" stopIfTrue="1" operator="greaterThan">
      <formula>0.9</formula>
    </cfRule>
    <cfRule type="cellIs" dxfId="20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CF78-BF45-46FC-AAAD-AF1983F89D30}">
  <sheetPr filterMode="1">
    <pageSetUpPr fitToPage="1"/>
  </sheetPr>
  <dimension ref="A1:N131"/>
  <sheetViews>
    <sheetView topLeftCell="A9" zoomScaleNormal="100" zoomScaleSheetLayoutView="70" workbookViewId="0">
      <selection activeCell="A102" sqref="A102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0.99900099900099915</v>
      </c>
      <c r="C1" s="23">
        <f>AVERAGE(B1:B7)</f>
        <v>0.57085771371485661</v>
      </c>
      <c r="D1" s="24">
        <f>H23</f>
        <v>1.0009999999999999</v>
      </c>
      <c r="E1" s="21" t="e">
        <f>AVERAGE(F1:F6)</f>
        <v>#REF!</v>
      </c>
      <c r="F1" s="25">
        <f>AVERAGE(J11,J26,J41,J56,J71,J86,J101)</f>
        <v>0.5714285714285714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</v>
      </c>
      <c r="C2" s="32" t="s">
        <v>21</v>
      </c>
      <c r="D2" s="24">
        <f>H38</f>
        <v>2E-3</v>
      </c>
      <c r="E2" s="27" t="str">
        <f>SUM(D1:D7)*10&amp;" "&amp;"Horas"&amp;" "&amp;"Hombre"&amp;" "&amp;"Disponibles"&amp;" "&amp;"Semana"</f>
        <v>40,1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</v>
      </c>
      <c r="C3" s="27"/>
      <c r="D3" s="24">
        <f>H53</f>
        <v>2E-3</v>
      </c>
      <c r="E3" s="27" t="str">
        <f>SUM(J23,J38,J53,J68,J83,J98,J113)&amp;" "&amp;"Horas"&amp;" "&amp;"Hombre"&amp;" "&amp;"Programadas"</f>
        <v>40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</v>
      </c>
      <c r="C4" s="23">
        <f>1-C1</f>
        <v>0.42914228628514339</v>
      </c>
      <c r="D4" s="24">
        <f>H68</f>
        <v>2E-3</v>
      </c>
      <c r="E4" s="27" t="str">
        <f>(SUM(D1:D7)*10)-(SUM(J23,J38,J53,J68,J83,J98,J113))&amp;" "&amp;"Horas"&amp;" "&amp;"Atención"&amp;" "&amp;"OT"&amp;" "&amp;"Reactivo"</f>
        <v>0,0999999999999943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0.99900099900099915</v>
      </c>
      <c r="C5" s="32" t="s">
        <v>28</v>
      </c>
      <c r="D5" s="24">
        <f>H83</f>
        <v>1.0009999999999999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0.99900099900099915</v>
      </c>
      <c r="C6" s="27"/>
      <c r="D6" s="24">
        <f>H98</f>
        <v>1.0009999999999999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0.99900099900099915</v>
      </c>
      <c r="C7" s="27"/>
      <c r="D7" s="24">
        <f>H113</f>
        <v>1.0009999999999999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303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46132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hidden="1" x14ac:dyDescent="0.25">
      <c r="A11" s="51"/>
      <c r="B11" s="52"/>
      <c r="C11" s="51"/>
      <c r="D11" s="52"/>
      <c r="E11" s="53" t="s">
        <v>44</v>
      </c>
      <c r="F11" s="52"/>
      <c r="G11" s="51"/>
      <c r="H11" s="54">
        <v>1</v>
      </c>
      <c r="I11" s="54">
        <f>H11*10</f>
        <v>10</v>
      </c>
      <c r="J11" s="55">
        <f>SUM(J12:J16)/I11</f>
        <v>1</v>
      </c>
      <c r="K11" s="56" t="str">
        <f>SUM(J12:J16)&amp;" "&amp;"Hrs"&amp;" "&amp;"GRUPO 1"</f>
        <v>10 Hrs GRUPO 1</v>
      </c>
      <c r="L11" s="30" t="s">
        <v>19</v>
      </c>
      <c r="M11" s="31" t="s">
        <v>36</v>
      </c>
      <c r="N11" s="57"/>
    </row>
    <row r="12" spans="1:14" hidden="1" x14ac:dyDescent="0.25">
      <c r="A12" s="58">
        <v>893325</v>
      </c>
      <c r="B12" s="12" t="s">
        <v>119</v>
      </c>
      <c r="C12" s="59" t="s">
        <v>120</v>
      </c>
      <c r="D12" s="12">
        <v>3</v>
      </c>
      <c r="E12" s="18" t="s">
        <v>143</v>
      </c>
      <c r="F12" s="58" t="s">
        <v>308</v>
      </c>
      <c r="G12" s="60" t="s">
        <v>309</v>
      </c>
      <c r="H12" s="58">
        <v>1</v>
      </c>
      <c r="I12" s="58">
        <v>10</v>
      </c>
      <c r="J12" s="61">
        <f>IF(H12&lt;&gt;"",H12*I12,"")</f>
        <v>10</v>
      </c>
      <c r="K12" s="62"/>
      <c r="L12" s="30" t="s">
        <v>19</v>
      </c>
      <c r="M12" s="31" t="s">
        <v>36</v>
      </c>
      <c r="N12" s="57"/>
    </row>
    <row r="13" spans="1:14" hidden="1" x14ac:dyDescent="0.25">
      <c r="A13" s="58"/>
      <c r="B13" s="12"/>
      <c r="C13" s="59"/>
      <c r="D13" s="12"/>
      <c r="E13" s="18"/>
      <c r="F13" s="58"/>
      <c r="G13" s="60"/>
      <c r="H13" s="12"/>
      <c r="I13" s="12"/>
      <c r="J13" s="61" t="str">
        <f>IF(H13&lt;&gt;"",H13*I13,"")</f>
        <v/>
      </c>
      <c r="K13" s="62"/>
      <c r="L13" s="26" t="s">
        <v>19</v>
      </c>
      <c r="M13" s="31" t="s">
        <v>36</v>
      </c>
      <c r="N13" s="31"/>
    </row>
    <row r="14" spans="1:14" hidden="1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hidden="1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hidden="1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hidden="1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hidden="1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hidden="1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hidden="1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hidden="1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hidden="1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hidden="1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1.0009999999999999</v>
      </c>
      <c r="I23" s="91">
        <f>H23*10</f>
        <v>10.009999999999998</v>
      </c>
      <c r="J23" s="92">
        <f>SUM(J18:J22,J12:J16)</f>
        <v>10</v>
      </c>
      <c r="K23" s="93">
        <f>J23/I23</f>
        <v>0.99900099900099915</v>
      </c>
      <c r="L23" s="30" t="s">
        <v>47</v>
      </c>
      <c r="M23" s="31" t="s">
        <v>36</v>
      </c>
      <c r="N23" s="31"/>
    </row>
    <row r="24" spans="1:14" ht="16.5" hidden="1" thickTop="1" thickBot="1" x14ac:dyDescent="0.3">
      <c r="A24" s="40"/>
      <c r="B24" s="41"/>
      <c r="C24" s="41"/>
      <c r="D24" s="41"/>
      <c r="E24" s="145">
        <f>E9+1</f>
        <v>46133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hidden="1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idden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1E-3</v>
      </c>
      <c r="I26" s="54">
        <f>H26*10</f>
        <v>0.01</v>
      </c>
      <c r="J26" s="55">
        <f>SUM(J27:J31)/I26</f>
        <v>0</v>
      </c>
      <c r="K26" s="56" t="str">
        <f>SUM(J27:J31)&amp;" "&amp;"Hrs"&amp;" "&amp;"GRUPO 1"</f>
        <v>0 Hrs GRUPO 1</v>
      </c>
      <c r="L26" s="30" t="s">
        <v>19</v>
      </c>
      <c r="M26" s="31" t="s">
        <v>48</v>
      </c>
      <c r="N26" s="57"/>
    </row>
    <row r="27" spans="1:14" hidden="1" x14ac:dyDescent="0.25">
      <c r="A27" s="58"/>
      <c r="B27" s="12"/>
      <c r="C27" s="59"/>
      <c r="D27" s="12"/>
      <c r="E27" s="18"/>
      <c r="F27" s="58"/>
      <c r="G27" s="60"/>
      <c r="H27" s="12"/>
      <c r="I27" s="12"/>
      <c r="J27" s="61" t="str">
        <f>IF(H27&lt;&gt;"",H27*I27,"")</f>
        <v/>
      </c>
      <c r="K27" s="62"/>
      <c r="L27" s="30" t="s">
        <v>19</v>
      </c>
      <c r="M27" s="31" t="s">
        <v>48</v>
      </c>
      <c r="N27" s="57"/>
    </row>
    <row r="28" spans="1:14" hidden="1" x14ac:dyDescent="0.25">
      <c r="A28" s="12"/>
      <c r="B28" s="12"/>
      <c r="C28" s="59"/>
      <c r="D28" s="12"/>
      <c r="E28" s="18"/>
      <c r="F28" s="12"/>
      <c r="G28" s="81"/>
      <c r="H28" s="12"/>
      <c r="I28" s="12"/>
      <c r="J28" s="61" t="str">
        <f>IF(H28&lt;&gt;"",H28*I28,"")</f>
        <v/>
      </c>
      <c r="K28" s="62"/>
      <c r="L28" s="30" t="s">
        <v>19</v>
      </c>
      <c r="M28" s="31" t="s">
        <v>48</v>
      </c>
      <c r="N28" s="57"/>
    </row>
    <row r="29" spans="1:14" hidden="1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hidden="1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hidden="1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hidden="1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hidden="1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hidden="1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hidden="1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hidden="1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hidden="1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hidden="1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2E-3</v>
      </c>
      <c r="I38" s="91">
        <f>H38*10</f>
        <v>0.02</v>
      </c>
      <c r="J38" s="92">
        <f>SUM(J33:J37,J27:J31)</f>
        <v>0</v>
      </c>
      <c r="K38" s="93">
        <f>J38/I38</f>
        <v>0</v>
      </c>
      <c r="L38" s="30" t="s">
        <v>47</v>
      </c>
      <c r="M38" s="31" t="s">
        <v>48</v>
      </c>
      <c r="N38" s="31"/>
    </row>
    <row r="39" spans="1:14" ht="16.5" hidden="1" thickTop="1" thickBot="1" x14ac:dyDescent="0.3">
      <c r="A39" s="104"/>
      <c r="B39" s="95"/>
      <c r="C39" s="95"/>
      <c r="D39" s="95"/>
      <c r="E39" s="135">
        <f>E24+1</f>
        <v>46134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hidden="1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idden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1E-3</v>
      </c>
      <c r="I41" s="54">
        <f>H41*10</f>
        <v>0.01</v>
      </c>
      <c r="J41" s="55">
        <f>SUM(J42:J46)/I41</f>
        <v>0</v>
      </c>
      <c r="K41" s="56" t="str">
        <f>SUM(J42:J46)&amp;" "&amp;"Hrs"&amp;" "&amp;"GRUPO 1"</f>
        <v>0 Hrs GRUPO 1</v>
      </c>
      <c r="L41" s="30" t="s">
        <v>19</v>
      </c>
      <c r="M41" s="31" t="s">
        <v>49</v>
      </c>
      <c r="N41" s="57"/>
    </row>
    <row r="42" spans="1:14" hidden="1" x14ac:dyDescent="0.25">
      <c r="A42" s="58"/>
      <c r="B42" s="12"/>
      <c r="C42" s="59"/>
      <c r="D42" s="12"/>
      <c r="E42" s="18"/>
      <c r="F42" s="58"/>
      <c r="G42" s="60"/>
      <c r="H42" s="12"/>
      <c r="I42" s="12"/>
      <c r="J42" s="61" t="str">
        <f>IF(H42&lt;&gt;"",H42*I42,"")</f>
        <v/>
      </c>
      <c r="K42" s="62"/>
      <c r="L42" s="30" t="s">
        <v>19</v>
      </c>
      <c r="M42" s="31" t="s">
        <v>49</v>
      </c>
      <c r="N42" s="57"/>
    </row>
    <row r="43" spans="1:14" hidden="1" x14ac:dyDescent="0.25">
      <c r="A43" s="12"/>
      <c r="B43" s="12"/>
      <c r="C43" s="59"/>
      <c r="D43" s="12"/>
      <c r="E43" s="18"/>
      <c r="F43" s="12"/>
      <c r="G43" s="81"/>
      <c r="H43" s="12"/>
      <c r="I43" s="12"/>
      <c r="J43" s="61" t="str">
        <f>IF(H43&lt;&gt;"",H43*I43,"")</f>
        <v/>
      </c>
      <c r="K43" s="62"/>
      <c r="L43" s="30" t="s">
        <v>19</v>
      </c>
      <c r="M43" s="31" t="s">
        <v>49</v>
      </c>
      <c r="N43" s="57"/>
    </row>
    <row r="44" spans="1:14" hidden="1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hidden="1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hidden="1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hidden="1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hidden="1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hidden="1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hidden="1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hidden="1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hidden="1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hidden="1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2E-3</v>
      </c>
      <c r="I53" s="91">
        <f>H53*10</f>
        <v>0.02</v>
      </c>
      <c r="J53" s="92">
        <f>SUM(J48:J52,J42:J46)</f>
        <v>0</v>
      </c>
      <c r="K53" s="93">
        <f>J53/I53</f>
        <v>0</v>
      </c>
      <c r="L53" s="30" t="s">
        <v>47</v>
      </c>
      <c r="M53" s="31" t="s">
        <v>49</v>
      </c>
      <c r="N53" s="31"/>
    </row>
    <row r="54" spans="1:14" ht="16.5" hidden="1" thickTop="1" thickBot="1" x14ac:dyDescent="0.3">
      <c r="A54" s="104"/>
      <c r="B54" s="95"/>
      <c r="C54" s="95"/>
      <c r="D54" s="95"/>
      <c r="E54" s="135">
        <f>E39+1</f>
        <v>46135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hidden="1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idden="1" x14ac:dyDescent="0.25">
      <c r="A56" s="51"/>
      <c r="B56" s="52"/>
      <c r="C56" s="51"/>
      <c r="D56" s="52"/>
      <c r="E56" s="53" t="s">
        <v>44</v>
      </c>
      <c r="F56" s="52"/>
      <c r="G56" s="51"/>
      <c r="H56" s="54">
        <v>1E-3</v>
      </c>
      <c r="I56" s="54">
        <f>H56*10</f>
        <v>0.01</v>
      </c>
      <c r="J56" s="55">
        <f>SUM(J57:J61)/I56</f>
        <v>0</v>
      </c>
      <c r="K56" s="56" t="str">
        <f>SUM(J57:J61)&amp;" "&amp;"Hrs"&amp;" "&amp;"GRUPO 1"</f>
        <v>0 Hrs GRUPO 1</v>
      </c>
      <c r="L56" s="30" t="s">
        <v>19</v>
      </c>
      <c r="M56" s="31" t="s">
        <v>50</v>
      </c>
      <c r="N56" s="57"/>
    </row>
    <row r="57" spans="1:14" hidden="1" x14ac:dyDescent="0.25">
      <c r="A57" s="58"/>
      <c r="B57" s="12"/>
      <c r="C57" s="59"/>
      <c r="D57" s="12"/>
      <c r="E57" s="18"/>
      <c r="F57" s="58"/>
      <c r="G57" s="60"/>
      <c r="H57" s="12"/>
      <c r="I57" s="12"/>
      <c r="J57" s="61" t="str">
        <f>IF(H57&lt;&gt;"",H57*I57,"")</f>
        <v/>
      </c>
      <c r="K57" s="62"/>
      <c r="L57" s="30" t="s">
        <v>19</v>
      </c>
      <c r="M57" s="31" t="s">
        <v>50</v>
      </c>
      <c r="N57" s="57"/>
    </row>
    <row r="58" spans="1:14" hidden="1" x14ac:dyDescent="0.25">
      <c r="A58" s="12"/>
      <c r="B58" s="12"/>
      <c r="C58" s="59"/>
      <c r="D58" s="12"/>
      <c r="E58" s="18"/>
      <c r="F58" s="12"/>
      <c r="G58" s="81"/>
      <c r="H58" s="12"/>
      <c r="I58" s="12"/>
      <c r="J58" s="61" t="str">
        <f>IF(H58&lt;&gt;"",H58*I58,"")</f>
        <v/>
      </c>
      <c r="K58" s="62"/>
      <c r="L58" s="30" t="s">
        <v>19</v>
      </c>
      <c r="M58" s="31" t="s">
        <v>50</v>
      </c>
      <c r="N58" s="57"/>
    </row>
    <row r="59" spans="1:14" hidden="1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hidden="1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hidden="1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hidden="1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hidden="1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hidden="1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hidden="1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hidden="1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hidden="1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hidden="1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2E-3</v>
      </c>
      <c r="I68" s="91">
        <f>H68*10</f>
        <v>0.02</v>
      </c>
      <c r="J68" s="92">
        <f>SUM(J63:J67,J57:J61)</f>
        <v>0</v>
      </c>
      <c r="K68" s="93">
        <f>J68/I68</f>
        <v>0</v>
      </c>
      <c r="L68" s="30" t="s">
        <v>47</v>
      </c>
      <c r="M68" s="31" t="s">
        <v>50</v>
      </c>
      <c r="N68" s="31"/>
    </row>
    <row r="69" spans="1:14" ht="16.5" hidden="1" thickTop="1" thickBot="1" x14ac:dyDescent="0.3">
      <c r="A69" s="104"/>
      <c r="B69" s="95"/>
      <c r="C69" s="95"/>
      <c r="D69" s="95"/>
      <c r="E69" s="135">
        <f>E54+1</f>
        <v>46136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hidden="1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idden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1</v>
      </c>
      <c r="I71" s="54">
        <f>H71*10</f>
        <v>10</v>
      </c>
      <c r="J71" s="55">
        <f>SUM(J72:J76)/I71</f>
        <v>1</v>
      </c>
      <c r="K71" s="56" t="str">
        <f>SUM(J72:J76)&amp;" "&amp;"Hrs"&amp;" "&amp;"GRUPO 1"</f>
        <v>10 Hrs GRUPO 1</v>
      </c>
      <c r="L71" s="30" t="s">
        <v>19</v>
      </c>
      <c r="M71" s="31" t="s">
        <v>51</v>
      </c>
      <c r="N71" s="57"/>
    </row>
    <row r="72" spans="1:14" hidden="1" x14ac:dyDescent="0.25">
      <c r="A72" s="58">
        <v>890438</v>
      </c>
      <c r="B72" s="12" t="s">
        <v>117</v>
      </c>
      <c r="C72" s="59" t="s">
        <v>118</v>
      </c>
      <c r="D72" s="12">
        <v>3</v>
      </c>
      <c r="E72" s="18" t="s">
        <v>304</v>
      </c>
      <c r="F72" s="58" t="s">
        <v>305</v>
      </c>
      <c r="G72" s="60" t="s">
        <v>306</v>
      </c>
      <c r="H72" s="12">
        <v>1</v>
      </c>
      <c r="I72" s="12">
        <v>10</v>
      </c>
      <c r="J72" s="61">
        <f>IF(H72&lt;&gt;"",H72*I72,"")</f>
        <v>10</v>
      </c>
      <c r="K72" s="62"/>
      <c r="L72" s="30" t="s">
        <v>19</v>
      </c>
      <c r="M72" s="31" t="s">
        <v>51</v>
      </c>
      <c r="N72" s="57"/>
    </row>
    <row r="73" spans="1:14" hidden="1" x14ac:dyDescent="0.25">
      <c r="A73" s="58"/>
      <c r="B73" s="12"/>
      <c r="C73" s="59"/>
      <c r="D73" s="12"/>
      <c r="E73" s="18"/>
      <c r="F73" s="58"/>
      <c r="G73" s="60"/>
      <c r="H73" s="12"/>
      <c r="I73" s="12"/>
      <c r="J73" s="61" t="str">
        <f>IF(H73&lt;&gt;"",H73*I73,"")</f>
        <v/>
      </c>
      <c r="K73" s="62"/>
      <c r="L73" s="30" t="s">
        <v>19</v>
      </c>
      <c r="M73" s="31" t="s">
        <v>51</v>
      </c>
      <c r="N73" s="57"/>
    </row>
    <row r="74" spans="1:14" hidden="1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hidden="1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hidden="1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hidden="1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hidden="1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hidden="1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hidden="1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hidden="1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hidden="1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hidden="1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1.0009999999999999</v>
      </c>
      <c r="I83" s="91">
        <f>H83*10</f>
        <v>10.009999999999998</v>
      </c>
      <c r="J83" s="92">
        <f>SUM(J78:J82,J72:J76)</f>
        <v>10</v>
      </c>
      <c r="K83" s="93">
        <f>J83/I83</f>
        <v>0.99900099900099915</v>
      </c>
      <c r="L83" s="30" t="s">
        <v>47</v>
      </c>
      <c r="M83" s="31" t="s">
        <v>51</v>
      </c>
      <c r="N83" s="31"/>
    </row>
    <row r="84" spans="1:14" ht="16.5" hidden="1" thickTop="1" thickBot="1" x14ac:dyDescent="0.3">
      <c r="A84" s="104"/>
      <c r="B84" s="95"/>
      <c r="C84" s="95"/>
      <c r="D84" s="95"/>
      <c r="E84" s="135">
        <f>E69+1</f>
        <v>46137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hidden="1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idden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1</v>
      </c>
      <c r="I86" s="54">
        <f>H86*10</f>
        <v>10</v>
      </c>
      <c r="J86" s="55">
        <f>SUM(J87:J91)/I86</f>
        <v>1</v>
      </c>
      <c r="K86" s="56" t="str">
        <f>SUM(J87:J91)&amp;" "&amp;"Hrs"&amp;" "&amp;"GRUPO 1"</f>
        <v>10 Hrs GRUPO 1</v>
      </c>
      <c r="L86" s="30" t="s">
        <v>19</v>
      </c>
      <c r="M86" s="31" t="s">
        <v>52</v>
      </c>
      <c r="N86" s="57"/>
    </row>
    <row r="87" spans="1:14" hidden="1" x14ac:dyDescent="0.25">
      <c r="A87" s="58">
        <v>893325</v>
      </c>
      <c r="B87" s="12" t="s">
        <v>119</v>
      </c>
      <c r="C87" s="59" t="s">
        <v>120</v>
      </c>
      <c r="D87" s="12">
        <v>3</v>
      </c>
      <c r="E87" s="18" t="s">
        <v>143</v>
      </c>
      <c r="F87" s="58" t="s">
        <v>308</v>
      </c>
      <c r="G87" s="60" t="s">
        <v>309</v>
      </c>
      <c r="H87" s="58">
        <v>1</v>
      </c>
      <c r="I87" s="12">
        <v>5</v>
      </c>
      <c r="J87" s="61">
        <f>IF(H87&lt;&gt;"",H87*I87,"")</f>
        <v>5</v>
      </c>
      <c r="K87" s="62"/>
      <c r="L87" s="30" t="s">
        <v>19</v>
      </c>
      <c r="M87" s="31" t="s">
        <v>52</v>
      </c>
      <c r="N87" s="57"/>
    </row>
    <row r="88" spans="1:14" hidden="1" x14ac:dyDescent="0.25">
      <c r="A88" s="58">
        <v>890438</v>
      </c>
      <c r="B88" s="12" t="s">
        <v>117</v>
      </c>
      <c r="C88" s="59" t="s">
        <v>118</v>
      </c>
      <c r="D88" s="12">
        <v>3</v>
      </c>
      <c r="E88" s="18" t="s">
        <v>304</v>
      </c>
      <c r="F88" s="58" t="s">
        <v>305</v>
      </c>
      <c r="G88" s="60" t="s">
        <v>306</v>
      </c>
      <c r="H88" s="12">
        <v>1</v>
      </c>
      <c r="I88" s="12">
        <v>5</v>
      </c>
      <c r="J88" s="61">
        <f>IF(H88&lt;&gt;"",H88*I88,"")</f>
        <v>5</v>
      </c>
      <c r="K88" s="62"/>
      <c r="L88" s="30" t="s">
        <v>19</v>
      </c>
      <c r="M88" s="31" t="s">
        <v>52</v>
      </c>
      <c r="N88" s="57"/>
    </row>
    <row r="89" spans="1:14" hidden="1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hidden="1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hidden="1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hidden="1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hidden="1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hidden="1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hidden="1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hidden="1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hidden="1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hidden="1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1.0009999999999999</v>
      </c>
      <c r="I98" s="91">
        <f>H98*10</f>
        <v>10.009999999999998</v>
      </c>
      <c r="J98" s="92">
        <f>SUM(J87:J91)</f>
        <v>10</v>
      </c>
      <c r="K98" s="93">
        <f>J98/I98</f>
        <v>0.99900099900099915</v>
      </c>
      <c r="L98" s="30" t="s">
        <v>47</v>
      </c>
      <c r="M98" s="31" t="s">
        <v>52</v>
      </c>
      <c r="N98" s="31"/>
    </row>
    <row r="99" spans="1:14" ht="16.5" hidden="1" thickTop="1" thickBot="1" x14ac:dyDescent="0.3">
      <c r="A99" s="104"/>
      <c r="B99" s="95"/>
      <c r="C99" s="95"/>
      <c r="D99" s="95"/>
      <c r="E99" s="135">
        <f>E84+1</f>
        <v>46138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hidden="1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idden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1</v>
      </c>
      <c r="I101" s="54">
        <f>H101*10</f>
        <v>10</v>
      </c>
      <c r="J101" s="55">
        <f>SUM(J102:J106)/I101</f>
        <v>1</v>
      </c>
      <c r="K101" s="56" t="str">
        <f>SUM(J102:J106)&amp;" "&amp;"Hrs"&amp;" "&amp;"GRUPO 1"</f>
        <v>10 Hrs GRUPO 1</v>
      </c>
      <c r="L101" s="30" t="s">
        <v>19</v>
      </c>
      <c r="M101" s="31" t="s">
        <v>53</v>
      </c>
      <c r="N101" s="57"/>
    </row>
    <row r="102" spans="1:14" x14ac:dyDescent="0.25">
      <c r="A102" s="58">
        <v>916731</v>
      </c>
      <c r="B102" s="12" t="s">
        <v>127</v>
      </c>
      <c r="C102" s="59" t="s">
        <v>128</v>
      </c>
      <c r="D102" s="12">
        <v>3</v>
      </c>
      <c r="E102" s="18" t="s">
        <v>104</v>
      </c>
      <c r="F102" s="58" t="s">
        <v>307</v>
      </c>
      <c r="G102" s="60" t="s">
        <v>259</v>
      </c>
      <c r="H102" s="12">
        <v>1</v>
      </c>
      <c r="I102" s="12">
        <v>5</v>
      </c>
      <c r="J102" s="61">
        <f>IF(H102&lt;&gt;"",H102*I102,"")</f>
        <v>5</v>
      </c>
      <c r="K102" s="62"/>
      <c r="L102" s="30" t="s">
        <v>19</v>
      </c>
      <c r="M102" s="31" t="s">
        <v>53</v>
      </c>
      <c r="N102" s="110"/>
    </row>
    <row r="103" spans="1:14" hidden="1" x14ac:dyDescent="0.25">
      <c r="A103" s="12">
        <v>921004</v>
      </c>
      <c r="B103" s="12" t="s">
        <v>127</v>
      </c>
      <c r="C103" s="59" t="s">
        <v>128</v>
      </c>
      <c r="D103" s="12">
        <v>3</v>
      </c>
      <c r="E103" s="18" t="s">
        <v>104</v>
      </c>
      <c r="F103" s="12" t="s">
        <v>145</v>
      </c>
      <c r="G103" s="81" t="s">
        <v>146</v>
      </c>
      <c r="H103" s="12">
        <v>1</v>
      </c>
      <c r="I103" s="12">
        <v>5</v>
      </c>
      <c r="J103" s="61">
        <f>IF(H103&lt;&gt;"",H103*I103,"")</f>
        <v>5</v>
      </c>
      <c r="K103" s="62"/>
      <c r="L103" s="30" t="s">
        <v>19</v>
      </c>
      <c r="M103" s="31" t="s">
        <v>53</v>
      </c>
      <c r="N103" s="110"/>
    </row>
    <row r="104" spans="1:14" hidden="1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hidden="1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hidden="1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hidden="1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hidden="1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hidden="1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hidden="1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hidden="1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hidden="1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hidden="1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1.0009999999999999</v>
      </c>
      <c r="I113" s="92">
        <f>H113*10</f>
        <v>10.009999999999998</v>
      </c>
      <c r="J113" s="92">
        <f>SUM(J108:J112,J102:J106)</f>
        <v>10</v>
      </c>
      <c r="K113" s="93">
        <f>J113/I113</f>
        <v>0.99900099900099915</v>
      </c>
      <c r="L113" s="30" t="s">
        <v>47</v>
      </c>
      <c r="M113" s="31" t="s">
        <v>53</v>
      </c>
      <c r="N113" s="31"/>
    </row>
    <row r="114" spans="1:14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>
    <filterColumn colId="0">
      <filters>
        <filter val="916731"/>
      </filters>
    </filterColumn>
  </autoFilter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19" priority="1" stopIfTrue="1" operator="greaterThan">
      <formula>0.9</formula>
    </cfRule>
    <cfRule type="cellIs" dxfId="18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B375-B3FB-42C8-A766-153B07A88020}">
  <sheetPr>
    <pageSetUpPr fitToPage="1"/>
  </sheetPr>
  <dimension ref="A1:N131"/>
  <sheetViews>
    <sheetView topLeftCell="A22" zoomScaleNormal="100" zoomScaleSheetLayoutView="70" workbookViewId="0">
      <selection activeCell="A42" sqref="A42:I42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0.99950024987506259</v>
      </c>
      <c r="C1" s="23">
        <f>AVERAGE(B1:B7)</f>
        <v>0.9992862852147496</v>
      </c>
      <c r="D1" s="24">
        <f>H23</f>
        <v>2.0009999999999999</v>
      </c>
      <c r="E1" s="21" t="e">
        <f>AVERAGE(F1:F6)</f>
        <v>#REF!</v>
      </c>
      <c r="F1" s="25">
        <f>AVERAGE(J11,J26,J41,J56,J71,J86,J101)</f>
        <v>1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0.99950024987506259</v>
      </c>
      <c r="C2" s="32" t="s">
        <v>21</v>
      </c>
      <c r="D2" s="24">
        <f>H38</f>
        <v>2.0009999999999999</v>
      </c>
      <c r="E2" s="27" t="str">
        <f>SUM(D1:D7)*10&amp;" "&amp;"Horas"&amp;" "&amp;"Hombre"&amp;" "&amp;"Disponibles"&amp;" "&amp;"Semana"</f>
        <v>110,07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0.99950024987506259</v>
      </c>
      <c r="C3" s="27"/>
      <c r="D3" s="24">
        <f>H53</f>
        <v>2.0009999999999999</v>
      </c>
      <c r="E3" s="27" t="str">
        <f>SUM(J23,J38,J53,J68,J83,J98,J113)&amp;" "&amp;"Horas"&amp;" "&amp;"Hombre"&amp;" "&amp;"Programadas"</f>
        <v>110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0.99950024987506259</v>
      </c>
      <c r="C4" s="23">
        <f>1-C1</f>
        <v>7.1371478525039667E-4</v>
      </c>
      <c r="D4" s="24">
        <f>H68</f>
        <v>2.0009999999999999</v>
      </c>
      <c r="E4" s="27" t="str">
        <f>(SUM(D1:D7)*10)-(SUM(J23,J38,J53,J68,J83,J98,J113))&amp;" "&amp;"Horas"&amp;" "&amp;"Atención"&amp;" "&amp;"OT"&amp;" "&amp;"Reactivo"</f>
        <v>0,069999999999979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0.99900099900099915</v>
      </c>
      <c r="C5" s="32" t="s">
        <v>28</v>
      </c>
      <c r="D5" s="24">
        <f>H83</f>
        <v>1.0009999999999999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0.99900099900099915</v>
      </c>
      <c r="C6" s="27"/>
      <c r="D6" s="24">
        <f>H98</f>
        <v>1.0009999999999999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0.99900099900099915</v>
      </c>
      <c r="C7" s="27"/>
      <c r="D7" s="24">
        <f>H113</f>
        <v>1.0009999999999999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301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46125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2</v>
      </c>
      <c r="I11" s="54">
        <f>H11*10</f>
        <v>20</v>
      </c>
      <c r="J11" s="55">
        <f>SUM(J12:J16)/I11</f>
        <v>1</v>
      </c>
      <c r="K11" s="56" t="str">
        <f>SUM(J12:J16)&amp;" "&amp;"Hrs"&amp;" "&amp;"GRUPO 1"</f>
        <v>20 Hrs GRUPO 1</v>
      </c>
      <c r="L11" s="30" t="s">
        <v>19</v>
      </c>
      <c r="M11" s="31" t="s">
        <v>36</v>
      </c>
      <c r="N11" s="57"/>
    </row>
    <row r="12" spans="1:14" x14ac:dyDescent="0.25">
      <c r="A12" s="58">
        <v>893327</v>
      </c>
      <c r="B12" s="12" t="s">
        <v>119</v>
      </c>
      <c r="C12" s="59" t="s">
        <v>120</v>
      </c>
      <c r="D12" s="12">
        <v>3</v>
      </c>
      <c r="E12" s="18" t="s">
        <v>143</v>
      </c>
      <c r="F12" s="58" t="s">
        <v>296</v>
      </c>
      <c r="G12" s="60" t="s">
        <v>297</v>
      </c>
      <c r="H12" s="58">
        <v>2</v>
      </c>
      <c r="I12" s="58">
        <v>5</v>
      </c>
      <c r="J12" s="61">
        <f>IF(H12&lt;&gt;"",H12*I12,"")</f>
        <v>10</v>
      </c>
      <c r="K12" s="62"/>
      <c r="L12" s="30" t="s">
        <v>19</v>
      </c>
      <c r="M12" s="31" t="s">
        <v>36</v>
      </c>
      <c r="N12" s="57"/>
    </row>
    <row r="13" spans="1:14" x14ac:dyDescent="0.25">
      <c r="A13" s="58">
        <v>890461</v>
      </c>
      <c r="B13" s="12" t="s">
        <v>117</v>
      </c>
      <c r="C13" s="59" t="s">
        <v>118</v>
      </c>
      <c r="D13" s="12">
        <v>3</v>
      </c>
      <c r="E13" s="18" t="s">
        <v>111</v>
      </c>
      <c r="F13" s="58" t="s">
        <v>289</v>
      </c>
      <c r="G13" s="60" t="s">
        <v>290</v>
      </c>
      <c r="H13" s="12">
        <v>2</v>
      </c>
      <c r="I13" s="12">
        <v>5</v>
      </c>
      <c r="J13" s="61">
        <f>IF(H13&lt;&gt;"",H13*I13,"")</f>
        <v>10</v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2.0009999999999999</v>
      </c>
      <c r="I23" s="91">
        <f>H23*10</f>
        <v>20.009999999999998</v>
      </c>
      <c r="J23" s="92">
        <f>SUM(J18:J22,J12:J16)</f>
        <v>20</v>
      </c>
      <c r="K23" s="93">
        <f>J23/I23</f>
        <v>0.99950024987506259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46126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2</v>
      </c>
      <c r="I26" s="54">
        <f>H26*10</f>
        <v>20</v>
      </c>
      <c r="J26" s="55">
        <f>SUM(J27:J31)/I26</f>
        <v>1</v>
      </c>
      <c r="K26" s="56" t="str">
        <f>SUM(J27:J31)&amp;" "&amp;"Hrs"&amp;" "&amp;"GRUPO 1"</f>
        <v>20 Hrs GRUPO 1</v>
      </c>
      <c r="L26" s="30" t="s">
        <v>19</v>
      </c>
      <c r="M26" s="31" t="s">
        <v>48</v>
      </c>
      <c r="N26" s="57"/>
    </row>
    <row r="27" spans="1:14" x14ac:dyDescent="0.25">
      <c r="A27" s="58">
        <v>890461</v>
      </c>
      <c r="B27" s="12" t="s">
        <v>117</v>
      </c>
      <c r="C27" s="59" t="s">
        <v>118</v>
      </c>
      <c r="D27" s="12">
        <v>3</v>
      </c>
      <c r="E27" s="18" t="s">
        <v>111</v>
      </c>
      <c r="F27" s="58" t="s">
        <v>289</v>
      </c>
      <c r="G27" s="60" t="s">
        <v>290</v>
      </c>
      <c r="H27" s="12">
        <v>2</v>
      </c>
      <c r="I27" s="12">
        <v>5</v>
      </c>
      <c r="J27" s="61">
        <f>IF(H27&lt;&gt;"",H27*I27,"")</f>
        <v>10</v>
      </c>
      <c r="K27" s="62"/>
      <c r="L27" s="30" t="s">
        <v>19</v>
      </c>
      <c r="M27" s="31" t="s">
        <v>48</v>
      </c>
      <c r="N27" s="57"/>
    </row>
    <row r="28" spans="1:14" x14ac:dyDescent="0.25">
      <c r="A28" s="12">
        <v>890462</v>
      </c>
      <c r="B28" s="12" t="s">
        <v>117</v>
      </c>
      <c r="C28" s="59" t="s">
        <v>118</v>
      </c>
      <c r="D28" s="12">
        <v>3</v>
      </c>
      <c r="E28" s="18" t="s">
        <v>111</v>
      </c>
      <c r="F28" s="12" t="s">
        <v>291</v>
      </c>
      <c r="G28" s="81" t="s">
        <v>292</v>
      </c>
      <c r="H28" s="12">
        <v>2</v>
      </c>
      <c r="I28" s="12">
        <v>5</v>
      </c>
      <c r="J28" s="61">
        <f>IF(H28&lt;&gt;"",H28*I28,"")</f>
        <v>10</v>
      </c>
      <c r="K28" s="62"/>
      <c r="L28" s="30" t="s">
        <v>19</v>
      </c>
      <c r="M28" s="31" t="s">
        <v>48</v>
      </c>
      <c r="N28" s="57"/>
    </row>
    <row r="29" spans="1:14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2.0009999999999999</v>
      </c>
      <c r="I38" s="91">
        <f>H38*10</f>
        <v>20.009999999999998</v>
      </c>
      <c r="J38" s="92">
        <f>SUM(J33:J37,J27:J31)</f>
        <v>20</v>
      </c>
      <c r="K38" s="93">
        <f>J38/I38</f>
        <v>0.99950024987506259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46127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2</v>
      </c>
      <c r="I41" s="54">
        <f>H41*10</f>
        <v>20</v>
      </c>
      <c r="J41" s="55">
        <f>SUM(J42:J46)/I41</f>
        <v>1</v>
      </c>
      <c r="K41" s="56" t="str">
        <f>SUM(J42:J46)&amp;" "&amp;"Hrs"&amp;" "&amp;"GRUPO 1"</f>
        <v>20 Hrs GRUPO 1</v>
      </c>
      <c r="L41" s="30" t="s">
        <v>19</v>
      </c>
      <c r="M41" s="31" t="s">
        <v>49</v>
      </c>
      <c r="N41" s="57"/>
    </row>
    <row r="42" spans="1:14" x14ac:dyDescent="0.25">
      <c r="A42" s="12">
        <v>890463</v>
      </c>
      <c r="B42" s="12" t="s">
        <v>117</v>
      </c>
      <c r="C42" s="59" t="s">
        <v>118</v>
      </c>
      <c r="D42" s="12">
        <v>3</v>
      </c>
      <c r="E42" s="18" t="s">
        <v>111</v>
      </c>
      <c r="F42" s="12" t="s">
        <v>293</v>
      </c>
      <c r="G42" s="81" t="s">
        <v>292</v>
      </c>
      <c r="H42" s="12">
        <v>2</v>
      </c>
      <c r="I42" s="12">
        <v>5</v>
      </c>
      <c r="J42" s="61">
        <f>IF(H42&lt;&gt;"",H42*I42,"")</f>
        <v>10</v>
      </c>
      <c r="K42" s="62"/>
      <c r="L42" s="30" t="s">
        <v>19</v>
      </c>
      <c r="M42" s="31" t="s">
        <v>49</v>
      </c>
      <c r="N42" s="57"/>
    </row>
    <row r="43" spans="1:14" x14ac:dyDescent="0.25">
      <c r="A43" s="12">
        <v>890486</v>
      </c>
      <c r="B43" s="12" t="s">
        <v>117</v>
      </c>
      <c r="C43" s="59" t="s">
        <v>118</v>
      </c>
      <c r="D43" s="12">
        <v>3</v>
      </c>
      <c r="E43" s="18" t="s">
        <v>111</v>
      </c>
      <c r="F43" s="12" t="s">
        <v>294</v>
      </c>
      <c r="G43" s="81" t="s">
        <v>295</v>
      </c>
      <c r="H43" s="12">
        <v>2</v>
      </c>
      <c r="I43" s="12">
        <v>5</v>
      </c>
      <c r="J43" s="61">
        <f>IF(H43&lt;&gt;"",H43*I43,"")</f>
        <v>10</v>
      </c>
      <c r="K43" s="62"/>
      <c r="L43" s="30" t="s">
        <v>19</v>
      </c>
      <c r="M43" s="31" t="s">
        <v>49</v>
      </c>
      <c r="N43" s="57"/>
    </row>
    <row r="44" spans="1:14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2.0009999999999999</v>
      </c>
      <c r="I53" s="91">
        <f>H53*10</f>
        <v>20.009999999999998</v>
      </c>
      <c r="J53" s="92">
        <f>SUM(J48:J52,J42:J46)</f>
        <v>20</v>
      </c>
      <c r="K53" s="93">
        <f>J53/I53</f>
        <v>0.99950024987506259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46128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2</v>
      </c>
      <c r="I56" s="54">
        <f>H56*10</f>
        <v>20</v>
      </c>
      <c r="J56" s="55">
        <f>SUM(J57:J61)/I56</f>
        <v>1</v>
      </c>
      <c r="K56" s="56" t="str">
        <f>SUM(J57:J61)&amp;" "&amp;"Hrs"&amp;" "&amp;"GRUPO 1"</f>
        <v>20 Hrs GRUPO 1</v>
      </c>
      <c r="L56" s="30" t="s">
        <v>19</v>
      </c>
      <c r="M56" s="31" t="s">
        <v>50</v>
      </c>
      <c r="N56" s="57"/>
    </row>
    <row r="57" spans="1:14" x14ac:dyDescent="0.25">
      <c r="A57" s="58">
        <v>890431</v>
      </c>
      <c r="B57" s="12" t="s">
        <v>117</v>
      </c>
      <c r="C57" s="59" t="s">
        <v>118</v>
      </c>
      <c r="D57" s="12">
        <v>3</v>
      </c>
      <c r="E57" s="18" t="s">
        <v>94</v>
      </c>
      <c r="F57" s="58" t="s">
        <v>285</v>
      </c>
      <c r="G57" s="60" t="s">
        <v>286</v>
      </c>
      <c r="H57" s="12">
        <v>2</v>
      </c>
      <c r="I57" s="12">
        <v>5</v>
      </c>
      <c r="J57" s="61">
        <f>IF(H57&lt;&gt;"",H57*I57,"")</f>
        <v>10</v>
      </c>
      <c r="K57" s="62"/>
      <c r="L57" s="30" t="s">
        <v>19</v>
      </c>
      <c r="M57" s="31" t="s">
        <v>50</v>
      </c>
      <c r="N57" s="57"/>
    </row>
    <row r="58" spans="1:14" x14ac:dyDescent="0.25">
      <c r="A58" s="12">
        <v>890486</v>
      </c>
      <c r="B58" s="12" t="s">
        <v>117</v>
      </c>
      <c r="C58" s="59" t="s">
        <v>118</v>
      </c>
      <c r="D58" s="12">
        <v>3</v>
      </c>
      <c r="E58" s="18" t="s">
        <v>111</v>
      </c>
      <c r="F58" s="12" t="s">
        <v>294</v>
      </c>
      <c r="G58" s="81" t="s">
        <v>295</v>
      </c>
      <c r="H58" s="12">
        <v>2</v>
      </c>
      <c r="I58" s="12">
        <v>5</v>
      </c>
      <c r="J58" s="61">
        <f>IF(H58&lt;&gt;"",H58*I58,"")</f>
        <v>10</v>
      </c>
      <c r="K58" s="62"/>
      <c r="L58" s="30" t="s">
        <v>19</v>
      </c>
      <c r="M58" s="31" t="s">
        <v>50</v>
      </c>
      <c r="N58" s="57"/>
    </row>
    <row r="59" spans="1:14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2.0009999999999999</v>
      </c>
      <c r="I68" s="91">
        <f>H68*10</f>
        <v>20.009999999999998</v>
      </c>
      <c r="J68" s="92">
        <f>SUM(J63:J67,J57:J61)</f>
        <v>20</v>
      </c>
      <c r="K68" s="93">
        <f>J68/I68</f>
        <v>0.99950024987506259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46129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1</v>
      </c>
      <c r="I71" s="54">
        <f>H71*10</f>
        <v>10</v>
      </c>
      <c r="J71" s="55">
        <f>SUM(J72:J76)/I71</f>
        <v>1</v>
      </c>
      <c r="K71" s="56" t="str">
        <f>SUM(J72:J76)&amp;" "&amp;"Hrs"&amp;" "&amp;"GRUPO 1"</f>
        <v>10 Hrs GRUPO 1</v>
      </c>
      <c r="L71" s="30" t="s">
        <v>19</v>
      </c>
      <c r="M71" s="31" t="s">
        <v>51</v>
      </c>
      <c r="N71" s="57"/>
    </row>
    <row r="72" spans="1:14" x14ac:dyDescent="0.25">
      <c r="A72" s="58">
        <v>927685</v>
      </c>
      <c r="B72" s="12" t="s">
        <v>127</v>
      </c>
      <c r="C72" s="59" t="s">
        <v>128</v>
      </c>
      <c r="D72" s="12">
        <v>3</v>
      </c>
      <c r="E72" s="18" t="s">
        <v>298</v>
      </c>
      <c r="F72" s="58" t="s">
        <v>299</v>
      </c>
      <c r="G72" s="60" t="s">
        <v>300</v>
      </c>
      <c r="H72" s="12">
        <v>1</v>
      </c>
      <c r="I72" s="12">
        <v>5</v>
      </c>
      <c r="J72" s="61">
        <f>IF(H72&lt;&gt;"",H72*I72,"")</f>
        <v>5</v>
      </c>
      <c r="K72" s="62"/>
      <c r="L72" s="30" t="s">
        <v>19</v>
      </c>
      <c r="M72" s="31" t="s">
        <v>51</v>
      </c>
      <c r="N72" s="57"/>
    </row>
    <row r="73" spans="1:14" x14ac:dyDescent="0.25">
      <c r="A73" s="58">
        <v>933943</v>
      </c>
      <c r="B73" s="12" t="s">
        <v>127</v>
      </c>
      <c r="C73" s="59" t="s">
        <v>128</v>
      </c>
      <c r="D73" s="12">
        <v>3</v>
      </c>
      <c r="E73" s="18" t="s">
        <v>236</v>
      </c>
      <c r="F73" s="58" t="s">
        <v>299</v>
      </c>
      <c r="G73" s="60" t="s">
        <v>300</v>
      </c>
      <c r="H73" s="12">
        <v>1</v>
      </c>
      <c r="I73" s="12">
        <v>5</v>
      </c>
      <c r="J73" s="61">
        <f>IF(H73&lt;&gt;"",H73*I73,"")</f>
        <v>5</v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1.0009999999999999</v>
      </c>
      <c r="I83" s="91">
        <f>H83*10</f>
        <v>10.009999999999998</v>
      </c>
      <c r="J83" s="92">
        <f>SUM(J78:J82,J72:J76)</f>
        <v>10</v>
      </c>
      <c r="K83" s="93">
        <f>J83/I83</f>
        <v>0.99900099900099915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46130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1</v>
      </c>
      <c r="I86" s="54">
        <f>H86*10</f>
        <v>10</v>
      </c>
      <c r="J86" s="55">
        <f>SUM(J87:J91)/I86</f>
        <v>1</v>
      </c>
      <c r="K86" s="56" t="str">
        <f>SUM(J87:J91)&amp;" "&amp;"Hrs"&amp;" "&amp;"GRUPO 1"</f>
        <v>10 Hrs GRUPO 1</v>
      </c>
      <c r="L86" s="30" t="s">
        <v>19</v>
      </c>
      <c r="M86" s="31" t="s">
        <v>52</v>
      </c>
      <c r="N86" s="57"/>
    </row>
    <row r="87" spans="1:14" x14ac:dyDescent="0.25">
      <c r="A87" s="58">
        <v>893327</v>
      </c>
      <c r="B87" s="12" t="s">
        <v>119</v>
      </c>
      <c r="C87" s="59" t="s">
        <v>120</v>
      </c>
      <c r="D87" s="12">
        <v>3</v>
      </c>
      <c r="E87" s="18" t="s">
        <v>143</v>
      </c>
      <c r="F87" s="58" t="s">
        <v>296</v>
      </c>
      <c r="G87" s="60" t="s">
        <v>297</v>
      </c>
      <c r="H87" s="58">
        <v>1</v>
      </c>
      <c r="I87" s="58">
        <v>5</v>
      </c>
      <c r="J87" s="61">
        <f>IF(H87&lt;&gt;"",H87*I87,"")</f>
        <v>5</v>
      </c>
      <c r="K87" s="62"/>
      <c r="L87" s="30" t="s">
        <v>19</v>
      </c>
      <c r="M87" s="31" t="s">
        <v>52</v>
      </c>
      <c r="N87" s="57"/>
    </row>
    <row r="88" spans="1:14" x14ac:dyDescent="0.25">
      <c r="A88" s="58">
        <v>933943</v>
      </c>
      <c r="B88" s="12" t="s">
        <v>127</v>
      </c>
      <c r="C88" s="59" t="s">
        <v>128</v>
      </c>
      <c r="D88" s="12">
        <v>3</v>
      </c>
      <c r="E88" s="18" t="s">
        <v>236</v>
      </c>
      <c r="F88" s="58" t="s">
        <v>299</v>
      </c>
      <c r="G88" s="60" t="s">
        <v>300</v>
      </c>
      <c r="H88" s="12">
        <v>1</v>
      </c>
      <c r="I88" s="12">
        <v>5</v>
      </c>
      <c r="J88" s="61">
        <f>IF(H88&lt;&gt;"",H88*I88,"")</f>
        <v>5</v>
      </c>
      <c r="K88" s="62"/>
      <c r="L88" s="30" t="s">
        <v>19</v>
      </c>
      <c r="M88" s="31" t="s">
        <v>52</v>
      </c>
      <c r="N88" s="57"/>
    </row>
    <row r="89" spans="1:14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1.0009999999999999</v>
      </c>
      <c r="I98" s="91">
        <f>H98*10</f>
        <v>10.009999999999998</v>
      </c>
      <c r="J98" s="92">
        <f>SUM(J87:J91)</f>
        <v>10</v>
      </c>
      <c r="K98" s="93">
        <f>J98/I98</f>
        <v>0.99900099900099915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46131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1</v>
      </c>
      <c r="I101" s="54">
        <f>H101*10</f>
        <v>10</v>
      </c>
      <c r="J101" s="55">
        <f>SUM(J102:J106)/I101</f>
        <v>1</v>
      </c>
      <c r="K101" s="56" t="str">
        <f>SUM(J102:J106)&amp;" "&amp;"Hrs"&amp;" "&amp;"GRUPO 1"</f>
        <v>10 Hrs GRUPO 1</v>
      </c>
      <c r="L101" s="30" t="s">
        <v>19</v>
      </c>
      <c r="M101" s="31" t="s">
        <v>53</v>
      </c>
      <c r="N101" s="57"/>
    </row>
    <row r="102" spans="1:14" x14ac:dyDescent="0.25">
      <c r="A102" s="58">
        <v>890439</v>
      </c>
      <c r="B102" s="12" t="s">
        <v>117</v>
      </c>
      <c r="C102" s="59" t="s">
        <v>118</v>
      </c>
      <c r="D102" s="12">
        <v>3</v>
      </c>
      <c r="E102" s="18" t="s">
        <v>268</v>
      </c>
      <c r="F102" s="58" t="s">
        <v>287</v>
      </c>
      <c r="G102" s="60" t="s">
        <v>288</v>
      </c>
      <c r="H102" s="12">
        <v>1</v>
      </c>
      <c r="I102" s="12">
        <v>10</v>
      </c>
      <c r="J102" s="61">
        <f>IF(H102&lt;&gt;"",H102*I102,"")</f>
        <v>10</v>
      </c>
      <c r="K102" s="62"/>
      <c r="L102" s="30" t="s">
        <v>19</v>
      </c>
      <c r="M102" s="31" t="s">
        <v>53</v>
      </c>
      <c r="N102" s="110"/>
    </row>
    <row r="103" spans="1:14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1.0009999999999999</v>
      </c>
      <c r="I113" s="92">
        <f>H113*10</f>
        <v>10.009999999999998</v>
      </c>
      <c r="J113" s="92">
        <f>SUM(J108:J112,J102:J106)</f>
        <v>10</v>
      </c>
      <c r="K113" s="93">
        <f>J113/I113</f>
        <v>0.99900099900099915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/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17" priority="1" stopIfTrue="1" operator="greaterThan">
      <formula>0.9</formula>
    </cfRule>
    <cfRule type="cellIs" dxfId="16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AE6C-023A-415D-B965-369546B0E3E1}">
  <sheetPr>
    <pageSetUpPr fitToPage="1"/>
  </sheetPr>
  <dimension ref="A1:N131"/>
  <sheetViews>
    <sheetView zoomScaleNormal="100" zoomScaleSheetLayoutView="70" workbookViewId="0">
      <selection activeCell="G14" sqref="G14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0.99900099900099915</v>
      </c>
      <c r="C1" s="23">
        <f>AVERAGE(B1:B7)</f>
        <v>0.99900099900099903</v>
      </c>
      <c r="D1" s="24">
        <f>H23</f>
        <v>1.0009999999999999</v>
      </c>
      <c r="E1" s="21" t="e">
        <f>AVERAGE(F1:F6)</f>
        <v>#REF!</v>
      </c>
      <c r="F1" s="25">
        <f>AVERAGE(J11,J26,J41,J56,J71,J86,J101)</f>
        <v>1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0.99900099900099915</v>
      </c>
      <c r="C2" s="32" t="s">
        <v>21</v>
      </c>
      <c r="D2" s="24">
        <f>H38</f>
        <v>1.0009999999999999</v>
      </c>
      <c r="E2" s="27" t="str">
        <f>SUM(D1:D7)*10&amp;" "&amp;"Horas"&amp;" "&amp;"Hombre"&amp;" "&amp;"Disponibles"&amp;" "&amp;"Semana"</f>
        <v>70,07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0.99900099900099915</v>
      </c>
      <c r="C3" s="27"/>
      <c r="D3" s="24">
        <f>H53</f>
        <v>1.0009999999999999</v>
      </c>
      <c r="E3" s="27" t="str">
        <f>SUM(J23,J38,J53,J68,J83,J98,J113)&amp;" "&amp;"Horas"&amp;" "&amp;"Hombre"&amp;" "&amp;"Programadas"</f>
        <v>70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0.99900099900099915</v>
      </c>
      <c r="C4" s="23">
        <f>1-C1</f>
        <v>9.9900099900096517E-4</v>
      </c>
      <c r="D4" s="24">
        <f>H68</f>
        <v>1.0009999999999999</v>
      </c>
      <c r="E4" s="27" t="str">
        <f>(SUM(D1:D7)*10)-(SUM(J23,J38,J53,J68,J83,J98,J113))&amp;" "&amp;"Horas"&amp;" "&amp;"Atención"&amp;" "&amp;"OT"&amp;" "&amp;"Reactivo"</f>
        <v>0,069999999999979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0.99900099900099915</v>
      </c>
      <c r="C5" s="32" t="s">
        <v>28</v>
      </c>
      <c r="D5" s="24">
        <f>H83</f>
        <v>1.0009999999999999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0.99900099900099915</v>
      </c>
      <c r="C6" s="27"/>
      <c r="D6" s="24">
        <f>H98</f>
        <v>1.0009999999999999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0.99900099900099915</v>
      </c>
      <c r="C7" s="27"/>
      <c r="D7" s="24">
        <f>H113</f>
        <v>1.0009999999999999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284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46118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1</v>
      </c>
      <c r="I11" s="54">
        <f>H11*10</f>
        <v>10</v>
      </c>
      <c r="J11" s="55">
        <f>SUM(J12:J16)/I11</f>
        <v>1</v>
      </c>
      <c r="K11" s="56" t="str">
        <f>SUM(J12:J16)&amp;" "&amp;"Hrs"&amp;" "&amp;"GRUPO 1"</f>
        <v>10 Hrs GRUPO 1</v>
      </c>
      <c r="L11" s="30" t="s">
        <v>19</v>
      </c>
      <c r="M11" s="31" t="s">
        <v>36</v>
      </c>
      <c r="N11" s="57"/>
    </row>
    <row r="12" spans="1:14" x14ac:dyDescent="0.25">
      <c r="A12" s="58">
        <v>890432</v>
      </c>
      <c r="B12" s="12" t="s">
        <v>117</v>
      </c>
      <c r="C12" s="59" t="s">
        <v>118</v>
      </c>
      <c r="D12" s="12">
        <v>3</v>
      </c>
      <c r="E12" s="18" t="s">
        <v>264</v>
      </c>
      <c r="F12" s="58" t="s">
        <v>274</v>
      </c>
      <c r="G12" s="60" t="s">
        <v>275</v>
      </c>
      <c r="H12" s="58">
        <v>1</v>
      </c>
      <c r="I12" s="58">
        <v>10</v>
      </c>
      <c r="J12" s="61">
        <f>IF(H12&lt;&gt;"",H12*I12,"")</f>
        <v>10</v>
      </c>
      <c r="K12" s="62"/>
      <c r="L12" s="30" t="s">
        <v>19</v>
      </c>
      <c r="M12" s="31" t="s">
        <v>36</v>
      </c>
      <c r="N12" s="57"/>
    </row>
    <row r="13" spans="1:14" x14ac:dyDescent="0.25">
      <c r="A13" s="58"/>
      <c r="B13" s="12"/>
      <c r="C13" s="59"/>
      <c r="D13" s="12"/>
      <c r="E13" s="18"/>
      <c r="F13" s="58"/>
      <c r="G13" s="60"/>
      <c r="H13" s="12"/>
      <c r="I13" s="12"/>
      <c r="J13" s="61" t="str">
        <f>IF(H13&lt;&gt;"",H13*I13,"")</f>
        <v/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1.0009999999999999</v>
      </c>
      <c r="I23" s="91">
        <f>H23*10</f>
        <v>10.009999999999998</v>
      </c>
      <c r="J23" s="92">
        <f>SUM(J18:J22,J12:J16)</f>
        <v>10</v>
      </c>
      <c r="K23" s="93">
        <f>J23/I23</f>
        <v>0.99900099900099915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46119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1</v>
      </c>
      <c r="I26" s="54">
        <f>H26*10</f>
        <v>10</v>
      </c>
      <c r="J26" s="55">
        <f>SUM(J27:J31)/I26</f>
        <v>1</v>
      </c>
      <c r="K26" s="56" t="str">
        <f>SUM(J27:J31)&amp;" "&amp;"Hrs"&amp;" "&amp;"GRUPO 1"</f>
        <v>10 Hrs GRUPO 1</v>
      </c>
      <c r="L26" s="30" t="s">
        <v>19</v>
      </c>
      <c r="M26" s="31" t="s">
        <v>48</v>
      </c>
      <c r="N26" s="57"/>
    </row>
    <row r="27" spans="1:14" x14ac:dyDescent="0.25">
      <c r="A27" s="58">
        <v>893324</v>
      </c>
      <c r="B27" s="12" t="s">
        <v>119</v>
      </c>
      <c r="C27" s="59" t="s">
        <v>120</v>
      </c>
      <c r="D27" s="12">
        <v>3</v>
      </c>
      <c r="E27" s="18" t="s">
        <v>143</v>
      </c>
      <c r="F27" s="58" t="s">
        <v>282</v>
      </c>
      <c r="G27" s="60" t="s">
        <v>283</v>
      </c>
      <c r="H27" s="12">
        <v>1</v>
      </c>
      <c r="I27" s="12">
        <v>5</v>
      </c>
      <c r="J27" s="61">
        <f>IF(H27&lt;&gt;"",H27*I27,"")</f>
        <v>5</v>
      </c>
      <c r="K27" s="62"/>
      <c r="L27" s="30" t="s">
        <v>19</v>
      </c>
      <c r="M27" s="31" t="s">
        <v>48</v>
      </c>
      <c r="N27" s="57"/>
    </row>
    <row r="28" spans="1:14" x14ac:dyDescent="0.25">
      <c r="A28" s="12">
        <v>890430</v>
      </c>
      <c r="B28" s="12" t="s">
        <v>117</v>
      </c>
      <c r="C28" s="59" t="s">
        <v>118</v>
      </c>
      <c r="D28" s="12">
        <v>3</v>
      </c>
      <c r="E28" s="18" t="s">
        <v>271</v>
      </c>
      <c r="F28" s="12" t="s">
        <v>272</v>
      </c>
      <c r="G28" s="81" t="s">
        <v>273</v>
      </c>
      <c r="H28" s="12">
        <v>1</v>
      </c>
      <c r="I28" s="12">
        <v>5</v>
      </c>
      <c r="J28" s="61">
        <f>IF(H28&lt;&gt;"",H28*I28,"")</f>
        <v>5</v>
      </c>
      <c r="K28" s="62"/>
      <c r="L28" s="30" t="s">
        <v>19</v>
      </c>
      <c r="M28" s="31" t="s">
        <v>48</v>
      </c>
      <c r="N28" s="57"/>
    </row>
    <row r="29" spans="1:14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1.0009999999999999</v>
      </c>
      <c r="I38" s="91">
        <f>H38*10</f>
        <v>10.009999999999998</v>
      </c>
      <c r="J38" s="92">
        <f>SUM(J33:J37,J27:J31)</f>
        <v>10</v>
      </c>
      <c r="K38" s="93">
        <f>J38/I38</f>
        <v>0.99900099900099915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46120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</v>
      </c>
      <c r="I41" s="54">
        <f>H41*10</f>
        <v>10</v>
      </c>
      <c r="J41" s="55">
        <f>SUM(J42:J46)/I41</f>
        <v>1</v>
      </c>
      <c r="K41" s="56" t="str">
        <f>SUM(J42:J46)&amp;" "&amp;"Hrs"&amp;" "&amp;"GRUPO 1"</f>
        <v>10 Hrs GRUPO 1</v>
      </c>
      <c r="L41" s="30" t="s">
        <v>19</v>
      </c>
      <c r="M41" s="31" t="s">
        <v>49</v>
      </c>
      <c r="N41" s="57"/>
    </row>
    <row r="42" spans="1:14" x14ac:dyDescent="0.25">
      <c r="A42" s="58">
        <v>890468</v>
      </c>
      <c r="B42" s="12" t="s">
        <v>117</v>
      </c>
      <c r="C42" s="59" t="s">
        <v>118</v>
      </c>
      <c r="D42" s="12">
        <v>3</v>
      </c>
      <c r="E42" s="18" t="s">
        <v>111</v>
      </c>
      <c r="F42" s="58" t="s">
        <v>276</v>
      </c>
      <c r="G42" s="60" t="s">
        <v>277</v>
      </c>
      <c r="H42" s="12">
        <v>1</v>
      </c>
      <c r="I42" s="12">
        <v>10</v>
      </c>
      <c r="J42" s="61">
        <f>IF(H42&lt;&gt;"",H42*I42,"")</f>
        <v>10</v>
      </c>
      <c r="K42" s="62"/>
      <c r="L42" s="30" t="s">
        <v>19</v>
      </c>
      <c r="M42" s="31" t="s">
        <v>49</v>
      </c>
      <c r="N42" s="57"/>
    </row>
    <row r="43" spans="1:14" x14ac:dyDescent="0.25">
      <c r="A43" s="12"/>
      <c r="B43" s="12"/>
      <c r="C43" s="59"/>
      <c r="D43" s="12"/>
      <c r="E43" s="18"/>
      <c r="F43" s="12"/>
      <c r="G43" s="81"/>
      <c r="H43" s="12"/>
      <c r="I43" s="12"/>
      <c r="J43" s="61" t="str">
        <f>IF(H43&lt;&gt;"",H43*I43,"")</f>
        <v/>
      </c>
      <c r="K43" s="62"/>
      <c r="L43" s="30" t="s">
        <v>19</v>
      </c>
      <c r="M43" s="31" t="s">
        <v>49</v>
      </c>
      <c r="N43" s="57"/>
    </row>
    <row r="44" spans="1:14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1.0009999999999999</v>
      </c>
      <c r="I53" s="91">
        <f>H53*10</f>
        <v>10.009999999999998</v>
      </c>
      <c r="J53" s="92">
        <f>SUM(J48:J52,J42:J46)</f>
        <v>10</v>
      </c>
      <c r="K53" s="93">
        <f>J53/I53</f>
        <v>0.99900099900099915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46121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1</v>
      </c>
      <c r="I56" s="54">
        <f>H56*10</f>
        <v>10</v>
      </c>
      <c r="J56" s="55">
        <f>SUM(J57:J61)/I56</f>
        <v>1</v>
      </c>
      <c r="K56" s="56" t="str">
        <f>SUM(J57:J61)&amp;" "&amp;"Hrs"&amp;" "&amp;"GRUPO 1"</f>
        <v>10 Hrs GRUPO 1</v>
      </c>
      <c r="L56" s="30" t="s">
        <v>19</v>
      </c>
      <c r="M56" s="31" t="s">
        <v>50</v>
      </c>
      <c r="N56" s="57"/>
    </row>
    <row r="57" spans="1:14" x14ac:dyDescent="0.25">
      <c r="A57" s="58">
        <v>890484</v>
      </c>
      <c r="B57" s="12" t="s">
        <v>117</v>
      </c>
      <c r="C57" s="59" t="s">
        <v>118</v>
      </c>
      <c r="D57" s="12">
        <v>3</v>
      </c>
      <c r="E57" s="18" t="s">
        <v>111</v>
      </c>
      <c r="F57" s="58" t="s">
        <v>278</v>
      </c>
      <c r="G57" s="60" t="s">
        <v>279</v>
      </c>
      <c r="H57" s="12">
        <v>1</v>
      </c>
      <c r="I57" s="12">
        <v>10</v>
      </c>
      <c r="J57" s="61">
        <f>IF(H57&lt;&gt;"",H57*I57,"")</f>
        <v>10</v>
      </c>
      <c r="K57" s="62"/>
      <c r="L57" s="30" t="s">
        <v>19</v>
      </c>
      <c r="M57" s="31" t="s">
        <v>50</v>
      </c>
      <c r="N57" s="57"/>
    </row>
    <row r="58" spans="1:14" x14ac:dyDescent="0.25">
      <c r="A58" s="12"/>
      <c r="B58" s="12"/>
      <c r="C58" s="59"/>
      <c r="D58" s="12"/>
      <c r="E58" s="18"/>
      <c r="F58" s="12"/>
      <c r="G58" s="81"/>
      <c r="H58" s="12"/>
      <c r="I58" s="12"/>
      <c r="J58" s="61" t="str">
        <f>IF(H58&lt;&gt;"",H58*I58,"")</f>
        <v/>
      </c>
      <c r="K58" s="62"/>
      <c r="L58" s="30" t="s">
        <v>19</v>
      </c>
      <c r="M58" s="31" t="s">
        <v>50</v>
      </c>
      <c r="N58" s="57"/>
    </row>
    <row r="59" spans="1:14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1.0009999999999999</v>
      </c>
      <c r="I68" s="91">
        <f>H68*10</f>
        <v>10.009999999999998</v>
      </c>
      <c r="J68" s="92">
        <f>SUM(J63:J67,J57:J61)</f>
        <v>10</v>
      </c>
      <c r="K68" s="93">
        <f>J68/I68</f>
        <v>0.99900099900099915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46122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1</v>
      </c>
      <c r="I71" s="54">
        <f>H71*10</f>
        <v>10</v>
      </c>
      <c r="J71" s="55">
        <f>SUM(J72:J76)/I71</f>
        <v>1</v>
      </c>
      <c r="K71" s="56" t="str">
        <f>SUM(J72:J76)&amp;" "&amp;"Hrs"&amp;" "&amp;"GRUPO 1"</f>
        <v>10 Hrs GRUPO 1</v>
      </c>
      <c r="L71" s="30" t="s">
        <v>19</v>
      </c>
      <c r="M71" s="31" t="s">
        <v>51</v>
      </c>
      <c r="N71" s="57"/>
    </row>
    <row r="72" spans="1:14" x14ac:dyDescent="0.25">
      <c r="A72" s="58">
        <v>890484</v>
      </c>
      <c r="B72" s="12" t="s">
        <v>117</v>
      </c>
      <c r="C72" s="59" t="s">
        <v>118</v>
      </c>
      <c r="D72" s="12">
        <v>3</v>
      </c>
      <c r="E72" s="18" t="s">
        <v>111</v>
      </c>
      <c r="F72" s="58" t="s">
        <v>278</v>
      </c>
      <c r="G72" s="60" t="s">
        <v>279</v>
      </c>
      <c r="H72" s="12">
        <v>1</v>
      </c>
      <c r="I72" s="12">
        <v>10</v>
      </c>
      <c r="J72" s="61">
        <f>IF(H72&lt;&gt;"",H72*I72,"")</f>
        <v>10</v>
      </c>
      <c r="K72" s="62"/>
      <c r="L72" s="30" t="s">
        <v>19</v>
      </c>
      <c r="M72" s="31" t="s">
        <v>51</v>
      </c>
      <c r="N72" s="57"/>
    </row>
    <row r="73" spans="1:14" x14ac:dyDescent="0.25">
      <c r="A73" s="58"/>
      <c r="B73" s="12"/>
      <c r="C73" s="59"/>
      <c r="D73" s="12"/>
      <c r="E73" s="18"/>
      <c r="F73" s="58"/>
      <c r="G73" s="60"/>
      <c r="H73" s="12"/>
      <c r="I73" s="12"/>
      <c r="J73" s="61" t="str">
        <f>IF(H73&lt;&gt;"",H73*I73,"")</f>
        <v/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1.0009999999999999</v>
      </c>
      <c r="I83" s="91">
        <f>H83*10</f>
        <v>10.009999999999998</v>
      </c>
      <c r="J83" s="92">
        <f>SUM(J78:J82,J72:J76)</f>
        <v>10</v>
      </c>
      <c r="K83" s="93">
        <f>J83/I83</f>
        <v>0.99900099900099915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46123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1</v>
      </c>
      <c r="I86" s="54">
        <f>H86*10</f>
        <v>10</v>
      </c>
      <c r="J86" s="55">
        <f>SUM(J87:J91)/I86</f>
        <v>1</v>
      </c>
      <c r="K86" s="56" t="str">
        <f>SUM(J87:J91)&amp;" "&amp;"Hrs"&amp;" "&amp;"GRUPO 1"</f>
        <v>10 Hrs GRUPO 1</v>
      </c>
      <c r="L86" s="30" t="s">
        <v>19</v>
      </c>
      <c r="M86" s="31" t="s">
        <v>52</v>
      </c>
      <c r="N86" s="57"/>
    </row>
    <row r="87" spans="1:14" x14ac:dyDescent="0.25">
      <c r="A87" s="58">
        <v>893324</v>
      </c>
      <c r="B87" s="12" t="s">
        <v>119</v>
      </c>
      <c r="C87" s="59" t="s">
        <v>120</v>
      </c>
      <c r="D87" s="12">
        <v>3</v>
      </c>
      <c r="E87" s="18" t="s">
        <v>143</v>
      </c>
      <c r="F87" s="58" t="s">
        <v>282</v>
      </c>
      <c r="G87" s="60" t="s">
        <v>283</v>
      </c>
      <c r="H87" s="12">
        <v>1</v>
      </c>
      <c r="I87" s="12">
        <v>5</v>
      </c>
      <c r="J87" s="61">
        <f>IF(H87&lt;&gt;"",H87*I87,"")</f>
        <v>5</v>
      </c>
      <c r="K87" s="62"/>
      <c r="L87" s="30" t="s">
        <v>19</v>
      </c>
      <c r="M87" s="31" t="s">
        <v>52</v>
      </c>
      <c r="N87" s="57"/>
    </row>
    <row r="88" spans="1:14" x14ac:dyDescent="0.25">
      <c r="A88" s="12">
        <v>890428</v>
      </c>
      <c r="B88" s="12" t="s">
        <v>117</v>
      </c>
      <c r="C88" s="59" t="s">
        <v>118</v>
      </c>
      <c r="D88" s="12">
        <v>3</v>
      </c>
      <c r="E88" s="18" t="s">
        <v>268</v>
      </c>
      <c r="F88" s="12" t="s">
        <v>269</v>
      </c>
      <c r="G88" s="81" t="s">
        <v>270</v>
      </c>
      <c r="H88" s="12">
        <v>1</v>
      </c>
      <c r="I88" s="12">
        <v>5</v>
      </c>
      <c r="J88" s="61">
        <f>IF(H88&lt;&gt;"",H88*I88,"")</f>
        <v>5</v>
      </c>
      <c r="K88" s="62"/>
      <c r="L88" s="30" t="s">
        <v>19</v>
      </c>
      <c r="M88" s="31" t="s">
        <v>52</v>
      </c>
      <c r="N88" s="57"/>
    </row>
    <row r="89" spans="1:14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1.0009999999999999</v>
      </c>
      <c r="I98" s="91">
        <f>H98*10</f>
        <v>10.009999999999998</v>
      </c>
      <c r="J98" s="92">
        <f>SUM(J87:J91)</f>
        <v>10</v>
      </c>
      <c r="K98" s="93">
        <f>J98/I98</f>
        <v>0.99900099900099915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46124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1</v>
      </c>
      <c r="I101" s="54">
        <f>H101*10</f>
        <v>10</v>
      </c>
      <c r="J101" s="55">
        <f>SUM(J102:J106)/I101</f>
        <v>1</v>
      </c>
      <c r="K101" s="56" t="str">
        <f>SUM(J102:J106)&amp;" "&amp;"Hrs"&amp;" "&amp;"GRUPO 1"</f>
        <v>10 Hrs GRUPO 1</v>
      </c>
      <c r="L101" s="30" t="s">
        <v>19</v>
      </c>
      <c r="M101" s="31" t="s">
        <v>53</v>
      </c>
      <c r="N101" s="57"/>
    </row>
    <row r="102" spans="1:14" x14ac:dyDescent="0.25">
      <c r="A102" s="58">
        <v>890494</v>
      </c>
      <c r="B102" s="12" t="s">
        <v>117</v>
      </c>
      <c r="C102" s="59" t="s">
        <v>118</v>
      </c>
      <c r="D102" s="12">
        <v>3</v>
      </c>
      <c r="E102" s="18" t="s">
        <v>111</v>
      </c>
      <c r="F102" s="58" t="s">
        <v>280</v>
      </c>
      <c r="G102" s="60" t="s">
        <v>281</v>
      </c>
      <c r="H102" s="12">
        <v>1</v>
      </c>
      <c r="I102" s="12">
        <v>10</v>
      </c>
      <c r="J102" s="61">
        <f>IF(H102&lt;&gt;"",H102*I102,"")</f>
        <v>10</v>
      </c>
      <c r="K102" s="62"/>
      <c r="L102" s="30" t="s">
        <v>19</v>
      </c>
      <c r="M102" s="31" t="s">
        <v>53</v>
      </c>
      <c r="N102" s="110"/>
    </row>
    <row r="103" spans="1:14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1.0009999999999999</v>
      </c>
      <c r="I113" s="92">
        <f>H113*10</f>
        <v>10.009999999999998</v>
      </c>
      <c r="J113" s="92">
        <f>SUM(J108:J112,J102:J106)</f>
        <v>10</v>
      </c>
      <c r="K113" s="93">
        <f>J113/I113</f>
        <v>0.99900099900099915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/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15" priority="1" stopIfTrue="1" operator="greaterThan">
      <formula>0.9</formula>
    </cfRule>
    <cfRule type="cellIs" dxfId="14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6A53-DE0E-4732-85B0-F36868E19E38}">
  <sheetPr>
    <pageSetUpPr fitToPage="1"/>
  </sheetPr>
  <dimension ref="A1:N131"/>
  <sheetViews>
    <sheetView topLeftCell="A4" zoomScaleNormal="100" zoomScaleSheetLayoutView="70" workbookViewId="0">
      <selection activeCell="E20" sqref="E20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0.99900099900099915</v>
      </c>
      <c r="C1" s="23">
        <f>AVERAGE(B1:B7)</f>
        <v>0.85628657057228497</v>
      </c>
      <c r="D1" s="24">
        <f>H23</f>
        <v>1.0009999999999999</v>
      </c>
      <c r="E1" s="21" t="e">
        <f>AVERAGE(F1:F6)</f>
        <v>#REF!</v>
      </c>
      <c r="F1" s="25">
        <f>AVERAGE(J11,J26,J41,J56,J71,J86,J101)</f>
        <v>0.8571428571428571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0.99900099900099915</v>
      </c>
      <c r="C2" s="32" t="s">
        <v>21</v>
      </c>
      <c r="D2" s="24">
        <f>H38</f>
        <v>1.0009999999999999</v>
      </c>
      <c r="E2" s="27" t="str">
        <f>SUM(D1:D7)*10&amp;" "&amp;"Horas"&amp;" "&amp;"Hombre"&amp;" "&amp;"Disponibles"&amp;" "&amp;"Semana"</f>
        <v>60,08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0.99900099900099915</v>
      </c>
      <c r="C3" s="27"/>
      <c r="D3" s="24">
        <f>H53</f>
        <v>1.0009999999999999</v>
      </c>
      <c r="E3" s="27" t="str">
        <f>SUM(J23,J38,J53,J68,J83,J98,J113)&amp;" "&amp;"Horas"&amp;" "&amp;"Hombre"&amp;" "&amp;"Programadas"</f>
        <v>60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0.99900099900099915</v>
      </c>
      <c r="C4" s="23">
        <f>1-C1</f>
        <v>0.14371342942771503</v>
      </c>
      <c r="D4" s="24">
        <f>H68</f>
        <v>1.0009999999999999</v>
      </c>
      <c r="E4" s="27" t="str">
        <f>(SUM(D1:D7)*10)-(SUM(J23,J38,J53,J68,J83,J98,J113))&amp;" "&amp;"Horas"&amp;" "&amp;"Atención"&amp;" "&amp;"OT"&amp;" "&amp;"Reactivo"</f>
        <v>0,0799999999999841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0.99900099900099915</v>
      </c>
      <c r="C5" s="32" t="s">
        <v>28</v>
      </c>
      <c r="D5" s="24">
        <f>H83</f>
        <v>1.0009999999999999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0.99900099900099915</v>
      </c>
      <c r="C6" s="27"/>
      <c r="D6" s="24">
        <f>H98</f>
        <v>1.0009999999999999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</v>
      </c>
      <c r="C7" s="27"/>
      <c r="D7" s="24">
        <f>H113</f>
        <v>2E-3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193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46048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1</v>
      </c>
      <c r="I11" s="54">
        <f>H11*10</f>
        <v>10</v>
      </c>
      <c r="J11" s="55">
        <f>SUM(J12:J16)/I11</f>
        <v>1</v>
      </c>
      <c r="K11" s="56" t="str">
        <f>SUM(J12:J16)&amp;" "&amp;"Hrs"&amp;" "&amp;"GRUPO 1"</f>
        <v>10 Hrs GRUPO 1</v>
      </c>
      <c r="L11" s="30" t="s">
        <v>19</v>
      </c>
      <c r="M11" s="31" t="s">
        <v>36</v>
      </c>
      <c r="N11" s="57"/>
    </row>
    <row r="12" spans="1:14" x14ac:dyDescent="0.25">
      <c r="A12" s="58">
        <v>890420</v>
      </c>
      <c r="B12" s="12" t="s">
        <v>117</v>
      </c>
      <c r="C12" s="59" t="s">
        <v>118</v>
      </c>
      <c r="D12" s="12">
        <v>3</v>
      </c>
      <c r="E12" s="18" t="s">
        <v>252</v>
      </c>
      <c r="F12" s="58" t="s">
        <v>260</v>
      </c>
      <c r="G12" s="60" t="s">
        <v>261</v>
      </c>
      <c r="H12" s="58">
        <v>1</v>
      </c>
      <c r="I12" s="58">
        <v>10</v>
      </c>
      <c r="J12" s="61">
        <f>IF(H12&lt;&gt;"",H12*I12,"")</f>
        <v>10</v>
      </c>
      <c r="K12" s="62"/>
      <c r="L12" s="30" t="s">
        <v>19</v>
      </c>
      <c r="M12" s="31" t="s">
        <v>36</v>
      </c>
      <c r="N12" s="57"/>
    </row>
    <row r="13" spans="1:14" x14ac:dyDescent="0.25">
      <c r="A13" s="58"/>
      <c r="B13" s="12"/>
      <c r="C13" s="59"/>
      <c r="D13" s="12"/>
      <c r="E13" s="18"/>
      <c r="F13" s="58"/>
      <c r="G13" s="60"/>
      <c r="H13" s="12"/>
      <c r="I13" s="12"/>
      <c r="J13" s="61" t="str">
        <f>IF(H13&lt;&gt;"",H13*I13,"")</f>
        <v/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1.0009999999999999</v>
      </c>
      <c r="I23" s="91">
        <f>H23*10</f>
        <v>10.009999999999998</v>
      </c>
      <c r="J23" s="92">
        <f>SUM(J18:J22,J12:J16)</f>
        <v>10</v>
      </c>
      <c r="K23" s="93">
        <f>J23/I23</f>
        <v>0.99900099900099915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46049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1</v>
      </c>
      <c r="I26" s="54">
        <f>H26*10</f>
        <v>10</v>
      </c>
      <c r="J26" s="55">
        <f>SUM(J27:J31)/I26</f>
        <v>1</v>
      </c>
      <c r="K26" s="56" t="str">
        <f>SUM(J27:J31)&amp;" "&amp;"Hrs"&amp;" "&amp;"GRUPO 1"</f>
        <v>10 Hrs GRUPO 1</v>
      </c>
      <c r="L26" s="30" t="s">
        <v>19</v>
      </c>
      <c r="M26" s="31" t="s">
        <v>48</v>
      </c>
      <c r="N26" s="57"/>
    </row>
    <row r="27" spans="1:14" x14ac:dyDescent="0.25">
      <c r="A27" s="58">
        <v>890424</v>
      </c>
      <c r="B27" s="12" t="s">
        <v>117</v>
      </c>
      <c r="C27" s="59" t="s">
        <v>118</v>
      </c>
      <c r="D27" s="12">
        <v>3</v>
      </c>
      <c r="E27" s="18" t="s">
        <v>252</v>
      </c>
      <c r="F27" s="58" t="s">
        <v>262</v>
      </c>
      <c r="G27" s="60" t="s">
        <v>263</v>
      </c>
      <c r="H27" s="12">
        <v>1</v>
      </c>
      <c r="I27" s="12">
        <v>10</v>
      </c>
      <c r="J27" s="61">
        <f>IF(H27&lt;&gt;"",H27*I27,"")</f>
        <v>10</v>
      </c>
      <c r="K27" s="62"/>
      <c r="L27" s="30" t="s">
        <v>19</v>
      </c>
      <c r="M27" s="31" t="s">
        <v>48</v>
      </c>
      <c r="N27" s="57"/>
    </row>
    <row r="28" spans="1:14" x14ac:dyDescent="0.25">
      <c r="A28" s="12"/>
      <c r="B28" s="12"/>
      <c r="C28" s="59"/>
      <c r="D28" s="12"/>
      <c r="E28" s="18"/>
      <c r="F28" s="12"/>
      <c r="G28" s="81"/>
      <c r="H28" s="12"/>
      <c r="I28" s="12"/>
      <c r="J28" s="61" t="str">
        <f>IF(H28&lt;&gt;"",H28*I28,"")</f>
        <v/>
      </c>
      <c r="K28" s="62"/>
      <c r="L28" s="30" t="s">
        <v>19</v>
      </c>
      <c r="M28" s="31" t="s">
        <v>48</v>
      </c>
      <c r="N28" s="57"/>
    </row>
    <row r="29" spans="1:14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1.0009999999999999</v>
      </c>
      <c r="I38" s="91">
        <f>H38*10</f>
        <v>10.009999999999998</v>
      </c>
      <c r="J38" s="92">
        <f>SUM(J33:J37,J27:J31)</f>
        <v>10</v>
      </c>
      <c r="K38" s="93">
        <f>J38/I38</f>
        <v>0.99900099900099915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46050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</v>
      </c>
      <c r="I41" s="54">
        <f>H41*10</f>
        <v>10</v>
      </c>
      <c r="J41" s="55">
        <f>SUM(J42:J46)/I41</f>
        <v>1</v>
      </c>
      <c r="K41" s="56" t="str">
        <f>SUM(J42:J46)&amp;" "&amp;"Hrs"&amp;" "&amp;"GRUPO 1"</f>
        <v>10 Hrs GRUPO 1</v>
      </c>
      <c r="L41" s="30" t="s">
        <v>19</v>
      </c>
      <c r="M41" s="31" t="s">
        <v>49</v>
      </c>
      <c r="N41" s="57"/>
    </row>
    <row r="42" spans="1:14" x14ac:dyDescent="0.25">
      <c r="A42" s="58">
        <v>890424</v>
      </c>
      <c r="B42" s="12" t="s">
        <v>117</v>
      </c>
      <c r="C42" s="59" t="s">
        <v>118</v>
      </c>
      <c r="D42" s="12">
        <v>3</v>
      </c>
      <c r="E42" s="18" t="s">
        <v>252</v>
      </c>
      <c r="F42" s="58" t="s">
        <v>262</v>
      </c>
      <c r="G42" s="60" t="s">
        <v>263</v>
      </c>
      <c r="H42" s="12">
        <v>1</v>
      </c>
      <c r="I42" s="12">
        <v>10</v>
      </c>
      <c r="J42" s="61">
        <f>IF(H42&lt;&gt;"",H42*I42,"")</f>
        <v>10</v>
      </c>
      <c r="K42" s="62"/>
      <c r="L42" s="30" t="s">
        <v>19</v>
      </c>
      <c r="M42" s="31" t="s">
        <v>49</v>
      </c>
      <c r="N42" s="57"/>
    </row>
    <row r="43" spans="1:14" x14ac:dyDescent="0.25">
      <c r="A43" s="12"/>
      <c r="B43" s="12"/>
      <c r="C43" s="59"/>
      <c r="D43" s="12"/>
      <c r="E43" s="18"/>
      <c r="F43" s="12"/>
      <c r="G43" s="81"/>
      <c r="H43" s="12"/>
      <c r="I43" s="12"/>
      <c r="J43" s="61" t="str">
        <f>IF(H43&lt;&gt;"",H43*I43,"")</f>
        <v/>
      </c>
      <c r="K43" s="62"/>
      <c r="L43" s="30" t="s">
        <v>19</v>
      </c>
      <c r="M43" s="31" t="s">
        <v>49</v>
      </c>
      <c r="N43" s="57"/>
    </row>
    <row r="44" spans="1:14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1.0009999999999999</v>
      </c>
      <c r="I53" s="91">
        <f>H53*10</f>
        <v>10.009999999999998</v>
      </c>
      <c r="J53" s="92">
        <f>SUM(J48:J52,J42:J46)</f>
        <v>10</v>
      </c>
      <c r="K53" s="93">
        <f>J53/I53</f>
        <v>0.99900099900099915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46051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1</v>
      </c>
      <c r="I56" s="54">
        <f>H56*10</f>
        <v>10</v>
      </c>
      <c r="J56" s="55">
        <f>SUM(J57:J61)/I56</f>
        <v>1</v>
      </c>
      <c r="K56" s="56" t="str">
        <f>SUM(J57:J61)&amp;" "&amp;"Hrs"&amp;" "&amp;"GRUPO 1"</f>
        <v>10 Hrs GRUPO 1</v>
      </c>
      <c r="L56" s="30" t="s">
        <v>19</v>
      </c>
      <c r="M56" s="31" t="s">
        <v>50</v>
      </c>
      <c r="N56" s="57"/>
    </row>
    <row r="57" spans="1:14" x14ac:dyDescent="0.25">
      <c r="A57" s="58">
        <v>890415</v>
      </c>
      <c r="B57" s="12" t="s">
        <v>117</v>
      </c>
      <c r="C57" s="59" t="s">
        <v>118</v>
      </c>
      <c r="D57" s="12">
        <v>3</v>
      </c>
      <c r="E57" s="18" t="s">
        <v>252</v>
      </c>
      <c r="F57" s="58" t="s">
        <v>258</v>
      </c>
      <c r="G57" s="60" t="s">
        <v>259</v>
      </c>
      <c r="H57" s="12">
        <v>1</v>
      </c>
      <c r="I57" s="12">
        <v>10</v>
      </c>
      <c r="J57" s="61">
        <f>IF(H57&lt;&gt;"",H57*I57,"")</f>
        <v>10</v>
      </c>
      <c r="K57" s="62"/>
      <c r="L57" s="30" t="s">
        <v>19</v>
      </c>
      <c r="M57" s="31" t="s">
        <v>50</v>
      </c>
      <c r="N57" s="57"/>
    </row>
    <row r="58" spans="1:14" x14ac:dyDescent="0.25">
      <c r="A58" s="12"/>
      <c r="B58" s="12"/>
      <c r="C58" s="59"/>
      <c r="D58" s="12"/>
      <c r="E58" s="18"/>
      <c r="F58" s="12"/>
      <c r="G58" s="81"/>
      <c r="H58" s="12"/>
      <c r="I58" s="12"/>
      <c r="J58" s="61" t="str">
        <f>IF(H58&lt;&gt;"",H58*I58,"")</f>
        <v/>
      </c>
      <c r="K58" s="62"/>
      <c r="L58" s="30" t="s">
        <v>19</v>
      </c>
      <c r="M58" s="31" t="s">
        <v>50</v>
      </c>
      <c r="N58" s="57"/>
    </row>
    <row r="59" spans="1:14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1.0009999999999999</v>
      </c>
      <c r="I68" s="91">
        <f>H68*10</f>
        <v>10.009999999999998</v>
      </c>
      <c r="J68" s="92">
        <f>SUM(J63:J67,J57:J61)</f>
        <v>10</v>
      </c>
      <c r="K68" s="93">
        <f>J68/I68</f>
        <v>0.99900099900099915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46052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1</v>
      </c>
      <c r="I71" s="54">
        <f>H71*10</f>
        <v>10</v>
      </c>
      <c r="J71" s="55">
        <f>SUM(J72:J76)/I71</f>
        <v>1</v>
      </c>
      <c r="K71" s="56" t="str">
        <f>SUM(J72:J76)&amp;" "&amp;"Hrs"&amp;" "&amp;"GRUPO 1"</f>
        <v>10 Hrs GRUPO 1</v>
      </c>
      <c r="L71" s="30" t="s">
        <v>19</v>
      </c>
      <c r="M71" s="31" t="s">
        <v>51</v>
      </c>
      <c r="N71" s="57"/>
    </row>
    <row r="72" spans="1:14" x14ac:dyDescent="0.25">
      <c r="A72" s="58">
        <v>890415</v>
      </c>
      <c r="B72" s="12" t="s">
        <v>117</v>
      </c>
      <c r="C72" s="59" t="s">
        <v>118</v>
      </c>
      <c r="D72" s="12">
        <v>3</v>
      </c>
      <c r="E72" s="18" t="s">
        <v>252</v>
      </c>
      <c r="F72" s="58" t="s">
        <v>258</v>
      </c>
      <c r="G72" s="60" t="s">
        <v>259</v>
      </c>
      <c r="H72" s="12">
        <v>1</v>
      </c>
      <c r="I72" s="12">
        <v>6</v>
      </c>
      <c r="J72" s="61">
        <f>IF(H72&lt;&gt;"",H72*I72,"")</f>
        <v>6</v>
      </c>
      <c r="K72" s="62"/>
      <c r="L72" s="30" t="s">
        <v>19</v>
      </c>
      <c r="M72" s="31" t="s">
        <v>51</v>
      </c>
      <c r="N72" s="57"/>
    </row>
    <row r="73" spans="1:14" x14ac:dyDescent="0.25">
      <c r="A73" s="58">
        <v>890426</v>
      </c>
      <c r="B73" s="12" t="s">
        <v>117</v>
      </c>
      <c r="C73" s="59" t="s">
        <v>118</v>
      </c>
      <c r="D73" s="12">
        <v>3</v>
      </c>
      <c r="E73" s="18" t="s">
        <v>264</v>
      </c>
      <c r="F73" s="58" t="s">
        <v>265</v>
      </c>
      <c r="G73" s="60" t="s">
        <v>266</v>
      </c>
      <c r="H73" s="12">
        <v>1</v>
      </c>
      <c r="I73" s="12">
        <v>4</v>
      </c>
      <c r="J73" s="61">
        <f>IF(H73&lt;&gt;"",H73*I73,"")</f>
        <v>4</v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1.0009999999999999</v>
      </c>
      <c r="I83" s="91">
        <f>H83*10</f>
        <v>10.009999999999998</v>
      </c>
      <c r="J83" s="92">
        <f>SUM(J78:J82,J72:J76)</f>
        <v>10</v>
      </c>
      <c r="K83" s="93">
        <f>J83/I83</f>
        <v>0.99900099900099915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46053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1</v>
      </c>
      <c r="I86" s="54">
        <f>H86*10</f>
        <v>10</v>
      </c>
      <c r="J86" s="55">
        <f>SUM(J87:J91)/I86</f>
        <v>1</v>
      </c>
      <c r="K86" s="56" t="str">
        <f>SUM(J87:J91)&amp;" "&amp;"Hrs"&amp;" "&amp;"GRUPO 1"</f>
        <v>10 Hrs GRUPO 1</v>
      </c>
      <c r="L86" s="30" t="s">
        <v>19</v>
      </c>
      <c r="M86" s="31" t="s">
        <v>52</v>
      </c>
      <c r="N86" s="57"/>
    </row>
    <row r="87" spans="1:14" x14ac:dyDescent="0.25">
      <c r="A87" s="58">
        <v>890426</v>
      </c>
      <c r="B87" s="12" t="s">
        <v>117</v>
      </c>
      <c r="C87" s="59" t="s">
        <v>118</v>
      </c>
      <c r="D87" s="12">
        <v>3</v>
      </c>
      <c r="E87" s="18" t="s">
        <v>264</v>
      </c>
      <c r="F87" s="58" t="s">
        <v>265</v>
      </c>
      <c r="G87" s="60" t="s">
        <v>266</v>
      </c>
      <c r="H87" s="12">
        <v>1</v>
      </c>
      <c r="I87" s="12">
        <v>10</v>
      </c>
      <c r="J87" s="61">
        <f>IF(H87&lt;&gt;"",H87*I87,"")</f>
        <v>10</v>
      </c>
      <c r="K87" s="62"/>
      <c r="L87" s="30" t="s">
        <v>19</v>
      </c>
      <c r="M87" s="31" t="s">
        <v>52</v>
      </c>
      <c r="N87" s="57"/>
    </row>
    <row r="88" spans="1:14" x14ac:dyDescent="0.25">
      <c r="A88" s="12"/>
      <c r="B88" s="12"/>
      <c r="C88" s="59"/>
      <c r="D88" s="12"/>
      <c r="E88" s="18"/>
      <c r="F88" s="12"/>
      <c r="G88" s="81"/>
      <c r="H88" s="12"/>
      <c r="I88" s="12"/>
      <c r="J88" s="61" t="str">
        <f>IF(H88&lt;&gt;"",H88*I88,"")</f>
        <v/>
      </c>
      <c r="K88" s="62"/>
      <c r="L88" s="30" t="s">
        <v>19</v>
      </c>
      <c r="M88" s="31" t="s">
        <v>52</v>
      </c>
      <c r="N88" s="57"/>
    </row>
    <row r="89" spans="1:14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1.0009999999999999</v>
      </c>
      <c r="I98" s="91">
        <f>H98*10</f>
        <v>10.009999999999998</v>
      </c>
      <c r="J98" s="92">
        <f>SUM(J87:J91)</f>
        <v>10</v>
      </c>
      <c r="K98" s="93">
        <f>J98/I98</f>
        <v>0.99900099900099915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46054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1E-3</v>
      </c>
      <c r="I101" s="54">
        <f>H101*10</f>
        <v>0.01</v>
      </c>
      <c r="J101" s="55">
        <f>SUM(J102:J106)/I101</f>
        <v>0</v>
      </c>
      <c r="K101" s="56" t="str">
        <f>SUM(J102:J106)&amp;" "&amp;"Hrs"&amp;" "&amp;"GRUPO 1"</f>
        <v>0 Hrs GRUPO 1</v>
      </c>
      <c r="L101" s="30" t="s">
        <v>19</v>
      </c>
      <c r="M101" s="31" t="s">
        <v>53</v>
      </c>
      <c r="N101" s="57"/>
    </row>
    <row r="102" spans="1:14" x14ac:dyDescent="0.25">
      <c r="A102" s="58"/>
      <c r="B102" s="12"/>
      <c r="C102" s="59"/>
      <c r="D102" s="12"/>
      <c r="E102" s="18"/>
      <c r="F102" s="58"/>
      <c r="G102" s="60"/>
      <c r="H102" s="12"/>
      <c r="I102" s="12"/>
      <c r="J102" s="61" t="str">
        <f>IF(H102&lt;&gt;"",H102*I102,"")</f>
        <v/>
      </c>
      <c r="K102" s="62"/>
      <c r="L102" s="30" t="s">
        <v>19</v>
      </c>
      <c r="M102" s="31" t="s">
        <v>53</v>
      </c>
      <c r="N102" s="110"/>
    </row>
    <row r="103" spans="1:14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2E-3</v>
      </c>
      <c r="I113" s="92">
        <f>H113*10</f>
        <v>0.02</v>
      </c>
      <c r="J113" s="92">
        <f>SUM(J108:J112,J102:J106)</f>
        <v>0</v>
      </c>
      <c r="K113" s="93">
        <f>J113/I113</f>
        <v>0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/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13" priority="1" stopIfTrue="1" operator="greaterThan">
      <formula>0.9</formula>
    </cfRule>
    <cfRule type="cellIs" dxfId="12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79B8-B461-4140-9A59-2BD4249625A9}">
  <sheetPr>
    <pageSetUpPr fitToPage="1"/>
  </sheetPr>
  <dimension ref="A1:N131"/>
  <sheetViews>
    <sheetView topLeftCell="A19" zoomScaleNormal="100" zoomScaleSheetLayoutView="70" workbookViewId="0">
      <selection activeCell="E31" sqref="E31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</v>
      </c>
      <c r="C1" s="23">
        <f>AVERAGE(B1:B7)</f>
        <v>0.71378610680388377</v>
      </c>
      <c r="D1" s="24">
        <f>H23</f>
        <v>2E-3</v>
      </c>
      <c r="E1" s="21" t="e">
        <f>AVERAGE(F1:F6)</f>
        <v>#REF!</v>
      </c>
      <c r="F1" s="25">
        <f>AVERAGE(J11,J26,J41,J56,J71,J86,J101)</f>
        <v>0.7142857142857143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0.99900099900099915</v>
      </c>
      <c r="C2" s="32" t="s">
        <v>21</v>
      </c>
      <c r="D2" s="24">
        <f>H38</f>
        <v>1.0009999999999999</v>
      </c>
      <c r="E2" s="27" t="str">
        <f>SUM(D1:D7)*10&amp;" "&amp;"Horas"&amp;" "&amp;"Hombre"&amp;" "&amp;"Disponibles"&amp;" "&amp;"Semana"</f>
        <v>80,09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0.99900099900099915</v>
      </c>
      <c r="C3" s="27"/>
      <c r="D3" s="24">
        <f>H53</f>
        <v>1.0009999999999999</v>
      </c>
      <c r="E3" s="27" t="str">
        <f>SUM(J23,J38,J53,J68,J83,J98,J113)&amp;" "&amp;"Horas"&amp;" "&amp;"Hombre"&amp;" "&amp;"Programadas"</f>
        <v>80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</v>
      </c>
      <c r="C4" s="23">
        <f>1-C1</f>
        <v>0.28621389319611623</v>
      </c>
      <c r="D4" s="24">
        <f>H68</f>
        <v>2E-3</v>
      </c>
      <c r="E4" s="27" t="str">
        <f>(SUM(D1:D7)*10)-(SUM(J23,J38,J53,J68,J83,J98,J113))&amp;" "&amp;"Horas"&amp;" "&amp;"Atención"&amp;" "&amp;"OT"&amp;" "&amp;"Reactivo"</f>
        <v>0,0899999999999892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0.99950024987506259</v>
      </c>
      <c r="C5" s="32" t="s">
        <v>28</v>
      </c>
      <c r="D5" s="24">
        <f>H83</f>
        <v>2.0009999999999999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0.99950024987506259</v>
      </c>
      <c r="C6" s="27"/>
      <c r="D6" s="24">
        <f>H98</f>
        <v>2.0009999999999999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0.99950024987506259</v>
      </c>
      <c r="C7" s="27"/>
      <c r="D7" s="24">
        <f>H113</f>
        <v>2.0009999999999999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248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46097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1E-3</v>
      </c>
      <c r="I11" s="54">
        <f>H11*10</f>
        <v>0.01</v>
      </c>
      <c r="J11" s="55">
        <f>SUM(J12:J16)/I11</f>
        <v>0</v>
      </c>
      <c r="K11" s="56" t="str">
        <f>SUM(J12:J16)&amp;" "&amp;"Hrs"&amp;" "&amp;"GRUPO 1"</f>
        <v>0 Hrs GRUPO 1</v>
      </c>
      <c r="L11" s="30" t="s">
        <v>19</v>
      </c>
      <c r="M11" s="31" t="s">
        <v>36</v>
      </c>
      <c r="N11" s="57"/>
    </row>
    <row r="12" spans="1:14" x14ac:dyDescent="0.25">
      <c r="A12" s="58"/>
      <c r="B12" s="12"/>
      <c r="C12" s="59"/>
      <c r="D12" s="12"/>
      <c r="E12" s="18"/>
      <c r="F12" s="58"/>
      <c r="G12" s="60"/>
      <c r="H12" s="58"/>
      <c r="I12" s="58"/>
      <c r="J12" s="61" t="str">
        <f>IF(H12&lt;&gt;"",H12*I12,"")</f>
        <v/>
      </c>
      <c r="K12" s="62"/>
      <c r="L12" s="30" t="s">
        <v>19</v>
      </c>
      <c r="M12" s="31" t="s">
        <v>36</v>
      </c>
      <c r="N12" s="57"/>
    </row>
    <row r="13" spans="1:14" x14ac:dyDescent="0.25">
      <c r="A13" s="58"/>
      <c r="B13" s="12"/>
      <c r="C13" s="59"/>
      <c r="D13" s="12"/>
      <c r="E13" s="18"/>
      <c r="F13" s="58"/>
      <c r="G13" s="60"/>
      <c r="H13" s="12"/>
      <c r="I13" s="12"/>
      <c r="J13" s="61" t="str">
        <f>IF(H13&lt;&gt;"",H13*I13,"")</f>
        <v/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2E-3</v>
      </c>
      <c r="I23" s="91">
        <f>H23*10</f>
        <v>0.02</v>
      </c>
      <c r="J23" s="92">
        <f>SUM(J18:J22,J12:J16)</f>
        <v>0</v>
      </c>
      <c r="K23" s="93">
        <f>J23/I23</f>
        <v>0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46098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1</v>
      </c>
      <c r="I26" s="54">
        <f>H26*10</f>
        <v>10</v>
      </c>
      <c r="J26" s="55">
        <f>SUM(J27:J31)/I26</f>
        <v>1</v>
      </c>
      <c r="K26" s="56" t="str">
        <f>SUM(J27:J31)&amp;" "&amp;"Hrs"&amp;" "&amp;"GRUPO 1"</f>
        <v>10 Hrs GRUPO 1</v>
      </c>
      <c r="L26" s="30" t="s">
        <v>19</v>
      </c>
      <c r="M26" s="31" t="s">
        <v>48</v>
      </c>
      <c r="N26" s="57"/>
    </row>
    <row r="27" spans="1:14" x14ac:dyDescent="0.25">
      <c r="A27" s="58">
        <v>893328</v>
      </c>
      <c r="B27" s="12" t="s">
        <v>119</v>
      </c>
      <c r="C27" s="59" t="s">
        <v>120</v>
      </c>
      <c r="D27" s="12">
        <v>3</v>
      </c>
      <c r="E27" s="18" t="s">
        <v>143</v>
      </c>
      <c r="F27" s="58" t="s">
        <v>239</v>
      </c>
      <c r="G27" s="60" t="s">
        <v>240</v>
      </c>
      <c r="H27" s="12">
        <v>1</v>
      </c>
      <c r="I27" s="12">
        <v>4</v>
      </c>
      <c r="J27" s="61">
        <f>IF(H27&lt;&gt;"",H27*I27,"")</f>
        <v>4</v>
      </c>
      <c r="K27" s="62"/>
      <c r="L27" s="30" t="s">
        <v>19</v>
      </c>
      <c r="M27" s="31" t="s">
        <v>48</v>
      </c>
      <c r="N27" s="57"/>
    </row>
    <row r="28" spans="1:14" x14ac:dyDescent="0.25">
      <c r="A28" s="12">
        <v>930451</v>
      </c>
      <c r="B28" s="12" t="s">
        <v>127</v>
      </c>
      <c r="C28" s="59" t="s">
        <v>128</v>
      </c>
      <c r="D28" s="12">
        <v>2</v>
      </c>
      <c r="E28" s="18" t="s">
        <v>236</v>
      </c>
      <c r="F28" s="12" t="s">
        <v>243</v>
      </c>
      <c r="G28" s="81" t="s">
        <v>244</v>
      </c>
      <c r="H28" s="12">
        <v>1</v>
      </c>
      <c r="I28" s="12">
        <v>3</v>
      </c>
      <c r="J28" s="61">
        <f>IF(H28&lt;&gt;"",H28*I28,"")</f>
        <v>3</v>
      </c>
      <c r="K28" s="62"/>
      <c r="L28" s="30" t="s">
        <v>19</v>
      </c>
      <c r="M28" s="31" t="s">
        <v>48</v>
      </c>
      <c r="N28" s="57"/>
    </row>
    <row r="29" spans="1:14" x14ac:dyDescent="0.25">
      <c r="A29" s="77">
        <v>930452</v>
      </c>
      <c r="B29" s="78" t="s">
        <v>127</v>
      </c>
      <c r="C29" s="79" t="s">
        <v>128</v>
      </c>
      <c r="D29" s="12">
        <v>2</v>
      </c>
      <c r="E29" s="19" t="s">
        <v>236</v>
      </c>
      <c r="F29" s="12" t="s">
        <v>245</v>
      </c>
      <c r="G29" s="19" t="s">
        <v>244</v>
      </c>
      <c r="H29" s="12">
        <v>1</v>
      </c>
      <c r="I29" s="12">
        <v>3</v>
      </c>
      <c r="J29" s="61">
        <f>IF(H29&lt;&gt;"",H29*I29,"")</f>
        <v>3</v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1.0009999999999999</v>
      </c>
      <c r="I38" s="91">
        <f>H38*10</f>
        <v>10.009999999999998</v>
      </c>
      <c r="J38" s="92">
        <f>SUM(J33:J37,J27:J31)</f>
        <v>10</v>
      </c>
      <c r="K38" s="93">
        <f>J38/I38</f>
        <v>0.99900099900099915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46099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</v>
      </c>
      <c r="I41" s="54">
        <f>H41*10</f>
        <v>10</v>
      </c>
      <c r="J41" s="55">
        <f>SUM(J42:J46)/I41</f>
        <v>1</v>
      </c>
      <c r="K41" s="56" t="str">
        <f>SUM(J42:J46)&amp;" "&amp;"Hrs"&amp;" "&amp;"GRUPO 1"</f>
        <v>10 Hrs GRUPO 1</v>
      </c>
      <c r="L41" s="30" t="s">
        <v>19</v>
      </c>
      <c r="M41" s="31" t="s">
        <v>49</v>
      </c>
      <c r="N41" s="57"/>
    </row>
    <row r="42" spans="1:14" x14ac:dyDescent="0.25">
      <c r="A42" s="12">
        <v>930451</v>
      </c>
      <c r="B42" s="12" t="s">
        <v>127</v>
      </c>
      <c r="C42" s="59" t="s">
        <v>128</v>
      </c>
      <c r="D42" s="12">
        <v>2</v>
      </c>
      <c r="E42" s="18" t="s">
        <v>236</v>
      </c>
      <c r="F42" s="12" t="s">
        <v>243</v>
      </c>
      <c r="G42" s="81" t="s">
        <v>244</v>
      </c>
      <c r="H42" s="12">
        <v>1</v>
      </c>
      <c r="I42" s="12">
        <v>5</v>
      </c>
      <c r="J42" s="61">
        <f>IF(H42&lt;&gt;"",H42*I42,"")</f>
        <v>5</v>
      </c>
      <c r="K42" s="62"/>
      <c r="L42" s="30" t="s">
        <v>19</v>
      </c>
      <c r="M42" s="31" t="s">
        <v>49</v>
      </c>
      <c r="N42" s="57"/>
    </row>
    <row r="43" spans="1:14" x14ac:dyDescent="0.25">
      <c r="A43" s="77">
        <v>930452</v>
      </c>
      <c r="B43" s="78" t="s">
        <v>127</v>
      </c>
      <c r="C43" s="79" t="s">
        <v>128</v>
      </c>
      <c r="D43" s="12">
        <v>2</v>
      </c>
      <c r="E43" s="19" t="s">
        <v>236</v>
      </c>
      <c r="F43" s="12" t="s">
        <v>245</v>
      </c>
      <c r="G43" s="19" t="s">
        <v>244</v>
      </c>
      <c r="H43" s="12">
        <v>1</v>
      </c>
      <c r="I43" s="12">
        <v>5</v>
      </c>
      <c r="J43" s="61">
        <f>IF(H43&lt;&gt;"",H43*I43,"")</f>
        <v>5</v>
      </c>
      <c r="K43" s="62"/>
      <c r="L43" s="30" t="s">
        <v>19</v>
      </c>
      <c r="M43" s="31" t="s">
        <v>49</v>
      </c>
      <c r="N43" s="57"/>
    </row>
    <row r="44" spans="1:14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1.0009999999999999</v>
      </c>
      <c r="I53" s="91">
        <f>H53*10</f>
        <v>10.009999999999998</v>
      </c>
      <c r="J53" s="92">
        <f>SUM(J48:J52,J42:J46)</f>
        <v>10</v>
      </c>
      <c r="K53" s="93">
        <f>J53/I53</f>
        <v>0.99900099900099915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46100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1E-3</v>
      </c>
      <c r="I56" s="54">
        <f>H56*10</f>
        <v>0.01</v>
      </c>
      <c r="J56" s="55">
        <f>SUM(J57:J61)/I56</f>
        <v>0</v>
      </c>
      <c r="K56" s="56" t="str">
        <f>SUM(J57:J61)&amp;" "&amp;"Hrs"&amp;" "&amp;"GRUPO 1"</f>
        <v>0 Hrs GRUPO 1</v>
      </c>
      <c r="L56" s="30" t="s">
        <v>19</v>
      </c>
      <c r="M56" s="31" t="s">
        <v>50</v>
      </c>
      <c r="N56" s="57"/>
    </row>
    <row r="57" spans="1:14" x14ac:dyDescent="0.25">
      <c r="A57" s="58"/>
      <c r="B57" s="12"/>
      <c r="C57" s="59"/>
      <c r="D57" s="12"/>
      <c r="E57" s="18"/>
      <c r="F57" s="58"/>
      <c r="G57" s="60"/>
      <c r="H57" s="12"/>
      <c r="I57" s="12"/>
      <c r="J57" s="61" t="str">
        <f>IF(H57&lt;&gt;"",H57*I57,"")</f>
        <v/>
      </c>
      <c r="K57" s="62"/>
      <c r="L57" s="30" t="s">
        <v>19</v>
      </c>
      <c r="M57" s="31" t="s">
        <v>50</v>
      </c>
      <c r="N57" s="57"/>
    </row>
    <row r="58" spans="1:14" x14ac:dyDescent="0.25">
      <c r="A58" s="12"/>
      <c r="B58" s="12"/>
      <c r="C58" s="59"/>
      <c r="D58" s="12"/>
      <c r="E58" s="18"/>
      <c r="F58" s="12"/>
      <c r="G58" s="81"/>
      <c r="H58" s="12"/>
      <c r="I58" s="12"/>
      <c r="J58" s="61" t="str">
        <f>IF(H58&lt;&gt;"",H58*I58,"")</f>
        <v/>
      </c>
      <c r="K58" s="62"/>
      <c r="L58" s="30" t="s">
        <v>19</v>
      </c>
      <c r="M58" s="31" t="s">
        <v>50</v>
      </c>
      <c r="N58" s="57"/>
    </row>
    <row r="59" spans="1:14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2E-3</v>
      </c>
      <c r="I68" s="91">
        <f>H68*10</f>
        <v>0.02</v>
      </c>
      <c r="J68" s="92">
        <f>SUM(J63:J67,J57:J61)</f>
        <v>0</v>
      </c>
      <c r="K68" s="93">
        <f>J68/I68</f>
        <v>0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46101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2</v>
      </c>
      <c r="I71" s="54">
        <f>H71*10</f>
        <v>20</v>
      </c>
      <c r="J71" s="55">
        <f>SUM(J72:J76)/I71</f>
        <v>1</v>
      </c>
      <c r="K71" s="56" t="str">
        <f>SUM(J72:J76)&amp;" "&amp;"Hrs"&amp;" "&amp;"GRUPO 1"</f>
        <v>20 Hrs GRUPO 1</v>
      </c>
      <c r="L71" s="30" t="s">
        <v>19</v>
      </c>
      <c r="M71" s="31" t="s">
        <v>51</v>
      </c>
      <c r="N71" s="57"/>
    </row>
    <row r="72" spans="1:14" x14ac:dyDescent="0.25">
      <c r="A72" s="58">
        <v>930637</v>
      </c>
      <c r="B72" s="12" t="s">
        <v>127</v>
      </c>
      <c r="C72" s="59" t="s">
        <v>128</v>
      </c>
      <c r="D72" s="12">
        <v>3</v>
      </c>
      <c r="E72" s="18" t="s">
        <v>247</v>
      </c>
      <c r="F72" s="58" t="s">
        <v>134</v>
      </c>
      <c r="G72" s="60" t="s">
        <v>135</v>
      </c>
      <c r="H72" s="12">
        <v>1</v>
      </c>
      <c r="I72" s="12">
        <v>10</v>
      </c>
      <c r="J72" s="61">
        <f>IF(H72&lt;&gt;"",H72*I72,"")</f>
        <v>10</v>
      </c>
      <c r="K72" s="62"/>
      <c r="L72" s="30" t="s">
        <v>19</v>
      </c>
      <c r="M72" s="31" t="s">
        <v>51</v>
      </c>
      <c r="N72" s="57"/>
    </row>
    <row r="73" spans="1:14" x14ac:dyDescent="0.25">
      <c r="A73" s="58">
        <v>930638</v>
      </c>
      <c r="B73" s="12" t="s">
        <v>127</v>
      </c>
      <c r="C73" s="59" t="s">
        <v>128</v>
      </c>
      <c r="D73" s="12">
        <v>3</v>
      </c>
      <c r="E73" s="18" t="s">
        <v>246</v>
      </c>
      <c r="F73" s="58" t="s">
        <v>134</v>
      </c>
      <c r="G73" s="60" t="s">
        <v>135</v>
      </c>
      <c r="H73" s="12">
        <v>1</v>
      </c>
      <c r="I73" s="12">
        <v>10</v>
      </c>
      <c r="J73" s="61">
        <f>IF(H73&lt;&gt;"",H73*I73,"")</f>
        <v>10</v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2.0009999999999999</v>
      </c>
      <c r="I83" s="91">
        <f>H83*10</f>
        <v>20.009999999999998</v>
      </c>
      <c r="J83" s="92">
        <f>SUM(J78:J82,J72:J76)</f>
        <v>20</v>
      </c>
      <c r="K83" s="93">
        <f>J83/I83</f>
        <v>0.99950024987506259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46102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2</v>
      </c>
      <c r="I86" s="54">
        <f>H86*10</f>
        <v>20</v>
      </c>
      <c r="J86" s="55">
        <f>SUM(J87:J91)/I86</f>
        <v>1</v>
      </c>
      <c r="K86" s="56" t="str">
        <f>SUM(J87:J91)&amp;" "&amp;"Hrs"&amp;" "&amp;"GRUPO 1"</f>
        <v>20 Hrs GRUPO 1</v>
      </c>
      <c r="L86" s="30" t="s">
        <v>19</v>
      </c>
      <c r="M86" s="31" t="s">
        <v>52</v>
      </c>
      <c r="N86" s="57"/>
    </row>
    <row r="87" spans="1:14" x14ac:dyDescent="0.25">
      <c r="A87" s="58">
        <v>930637</v>
      </c>
      <c r="B87" s="12" t="s">
        <v>127</v>
      </c>
      <c r="C87" s="59" t="s">
        <v>128</v>
      </c>
      <c r="D87" s="12">
        <v>3</v>
      </c>
      <c r="E87" s="18" t="s">
        <v>247</v>
      </c>
      <c r="F87" s="58" t="s">
        <v>134</v>
      </c>
      <c r="G87" s="60" t="s">
        <v>135</v>
      </c>
      <c r="H87" s="12">
        <v>1</v>
      </c>
      <c r="I87" s="12">
        <v>10</v>
      </c>
      <c r="J87" s="61">
        <f>IF(H87&lt;&gt;"",H87*I87,"")</f>
        <v>10</v>
      </c>
      <c r="K87" s="62"/>
      <c r="L87" s="30" t="s">
        <v>19</v>
      </c>
      <c r="M87" s="31" t="s">
        <v>52</v>
      </c>
      <c r="N87" s="57"/>
    </row>
    <row r="88" spans="1:14" x14ac:dyDescent="0.25">
      <c r="A88" s="58">
        <v>930638</v>
      </c>
      <c r="B88" s="12" t="s">
        <v>127</v>
      </c>
      <c r="C88" s="59" t="s">
        <v>128</v>
      </c>
      <c r="D88" s="12">
        <v>3</v>
      </c>
      <c r="E88" s="18" t="s">
        <v>246</v>
      </c>
      <c r="F88" s="58" t="s">
        <v>134</v>
      </c>
      <c r="G88" s="60" t="s">
        <v>135</v>
      </c>
      <c r="H88" s="12">
        <v>1</v>
      </c>
      <c r="I88" s="12">
        <v>10</v>
      </c>
      <c r="J88" s="61">
        <f>IF(H88&lt;&gt;"",H88*I88,"")</f>
        <v>10</v>
      </c>
      <c r="K88" s="62"/>
      <c r="L88" s="30" t="s">
        <v>19</v>
      </c>
      <c r="M88" s="31" t="s">
        <v>52</v>
      </c>
      <c r="N88" s="57"/>
    </row>
    <row r="89" spans="1:14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2.0009999999999999</v>
      </c>
      <c r="I98" s="91">
        <f>H98*10</f>
        <v>20.009999999999998</v>
      </c>
      <c r="J98" s="92">
        <f>SUM(J87:J91)</f>
        <v>20</v>
      </c>
      <c r="K98" s="93">
        <f>J98/I98</f>
        <v>0.99950024987506259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46103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2</v>
      </c>
      <c r="I101" s="54">
        <f>H101*10</f>
        <v>20</v>
      </c>
      <c r="J101" s="55">
        <f>SUM(J102:J106)/I101</f>
        <v>1</v>
      </c>
      <c r="K101" s="56" t="str">
        <f>SUM(J102:J106)&amp;" "&amp;"Hrs"&amp;" "&amp;"GRUPO 1"</f>
        <v>20 Hrs GRUPO 1</v>
      </c>
      <c r="L101" s="30" t="s">
        <v>19</v>
      </c>
      <c r="M101" s="31" t="s">
        <v>53</v>
      </c>
      <c r="N101" s="57"/>
    </row>
    <row r="102" spans="1:14" x14ac:dyDescent="0.25">
      <c r="A102" s="58">
        <v>893328</v>
      </c>
      <c r="B102" s="12" t="s">
        <v>119</v>
      </c>
      <c r="C102" s="59" t="s">
        <v>120</v>
      </c>
      <c r="D102" s="12">
        <v>3</v>
      </c>
      <c r="E102" s="18" t="s">
        <v>143</v>
      </c>
      <c r="F102" s="58" t="s">
        <v>239</v>
      </c>
      <c r="G102" s="60" t="s">
        <v>240</v>
      </c>
      <c r="H102" s="12">
        <v>2</v>
      </c>
      <c r="I102" s="12">
        <v>5</v>
      </c>
      <c r="J102" s="61">
        <f>IF(H102&lt;&gt;"",H102*I102,"")</f>
        <v>10</v>
      </c>
      <c r="K102" s="62"/>
      <c r="L102" s="30" t="s">
        <v>19</v>
      </c>
      <c r="M102" s="31" t="s">
        <v>53</v>
      </c>
      <c r="N102" s="110"/>
    </row>
    <row r="103" spans="1:14" x14ac:dyDescent="0.25">
      <c r="A103" s="58">
        <v>930637</v>
      </c>
      <c r="B103" s="12" t="s">
        <v>127</v>
      </c>
      <c r="C103" s="59" t="s">
        <v>128</v>
      </c>
      <c r="D103" s="12">
        <v>3</v>
      </c>
      <c r="E103" s="18" t="s">
        <v>247</v>
      </c>
      <c r="F103" s="58" t="s">
        <v>134</v>
      </c>
      <c r="G103" s="60" t="s">
        <v>135</v>
      </c>
      <c r="H103" s="12">
        <v>1</v>
      </c>
      <c r="I103" s="12">
        <v>5</v>
      </c>
      <c r="J103" s="61">
        <f>IF(H103&lt;&gt;"",H103*I103,"")</f>
        <v>5</v>
      </c>
      <c r="K103" s="62"/>
      <c r="L103" s="30" t="s">
        <v>19</v>
      </c>
      <c r="M103" s="31" t="s">
        <v>53</v>
      </c>
      <c r="N103" s="110"/>
    </row>
    <row r="104" spans="1:14" x14ac:dyDescent="0.25">
      <c r="A104" s="58">
        <v>930638</v>
      </c>
      <c r="B104" s="12" t="s">
        <v>127</v>
      </c>
      <c r="C104" s="59" t="s">
        <v>128</v>
      </c>
      <c r="D104" s="12">
        <v>3</v>
      </c>
      <c r="E104" s="18" t="s">
        <v>246</v>
      </c>
      <c r="F104" s="58" t="s">
        <v>134</v>
      </c>
      <c r="G104" s="60" t="s">
        <v>135</v>
      </c>
      <c r="H104" s="12">
        <v>1</v>
      </c>
      <c r="I104" s="12">
        <v>5</v>
      </c>
      <c r="J104" s="61">
        <f>IF(H104&lt;&gt;"",H104*I104,"")</f>
        <v>5</v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2.0009999999999999</v>
      </c>
      <c r="I113" s="92">
        <f>H113*10</f>
        <v>20.009999999999998</v>
      </c>
      <c r="J113" s="92">
        <f>SUM(J108:J112,J102:J106)</f>
        <v>20</v>
      </c>
      <c r="K113" s="93">
        <f>J113/I113</f>
        <v>0.99950024987506259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/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11" priority="1" stopIfTrue="1" operator="greaterThan">
      <formula>0.9</formula>
    </cfRule>
    <cfRule type="cellIs" dxfId="10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5BC7-52CD-4532-8E07-8702CEF4ACDC}">
  <sheetPr>
    <pageSetUpPr fitToPage="1"/>
  </sheetPr>
  <dimension ref="A1:N131"/>
  <sheetViews>
    <sheetView zoomScaleNormal="100" zoomScaleSheetLayoutView="70" workbookViewId="0">
      <selection activeCell="E51" sqref="E51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0.99900099900099915</v>
      </c>
      <c r="C1" s="23">
        <f>AVERAGE(B1:B7)</f>
        <v>0.57085771371485661</v>
      </c>
      <c r="D1" s="24">
        <f>H23</f>
        <v>1.0009999999999999</v>
      </c>
      <c r="E1" s="21" t="e">
        <f>AVERAGE(F1:F6)</f>
        <v>#REF!</v>
      </c>
      <c r="F1" s="25">
        <f>AVERAGE(J11,J26,J41,J56,J71,J86,J101)</f>
        <v>0.5714285714285714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0.99900099900099915</v>
      </c>
      <c r="C2" s="32" t="s">
        <v>21</v>
      </c>
      <c r="D2" s="24">
        <f>H38</f>
        <v>1.0009999999999999</v>
      </c>
      <c r="E2" s="27" t="str">
        <f>SUM(D1:D7)*10&amp;" "&amp;"Horas"&amp;" "&amp;"Hombre"&amp;" "&amp;"Disponibles"&amp;" "&amp;"Semana"</f>
        <v>100,07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0.99900099900099915</v>
      </c>
      <c r="C3" s="27"/>
      <c r="D3" s="24">
        <f>H53</f>
        <v>1.0009999999999999</v>
      </c>
      <c r="E3" s="27" t="str">
        <f>SUM(J23,J38,J53,J68,J83,J98,J113)&amp;" "&amp;"Horas"&amp;" "&amp;"Hombre"&amp;" "&amp;"Programadas"</f>
        <v>40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0.99900099900099915</v>
      </c>
      <c r="C4" s="23">
        <f>1-C1</f>
        <v>0.42914228628514339</v>
      </c>
      <c r="D4" s="24">
        <f>H68</f>
        <v>1.0009999999999999</v>
      </c>
      <c r="E4" s="27" t="str">
        <f>(SUM(D1:D7)*10)-(SUM(J23,J38,J53,J68,J83,J98,J113))&amp;" "&amp;"Horas"&amp;" "&amp;"Atención"&amp;" "&amp;"OT"&amp;" "&amp;"Reactivo"</f>
        <v>60,07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</v>
      </c>
      <c r="C5" s="32" t="s">
        <v>28</v>
      </c>
      <c r="D5" s="24">
        <f>H83</f>
        <v>2.0009999999999999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</v>
      </c>
      <c r="C6" s="27"/>
      <c r="D6" s="24">
        <f>H98</f>
        <v>2.0009999999999999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</v>
      </c>
      <c r="C7" s="27"/>
      <c r="D7" s="24">
        <f>H113</f>
        <v>2.0009999999999999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228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46069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1</v>
      </c>
      <c r="I11" s="54">
        <f>H11*10</f>
        <v>10</v>
      </c>
      <c r="J11" s="55">
        <f>SUM(J12:J16)/I11</f>
        <v>1</v>
      </c>
      <c r="K11" s="56" t="str">
        <f>SUM(J12:J16)&amp;" "&amp;"Hrs"&amp;" "&amp;"GRUPO 1"</f>
        <v>10 Hrs GRUPO 1</v>
      </c>
      <c r="L11" s="30" t="s">
        <v>19</v>
      </c>
      <c r="M11" s="31" t="s">
        <v>36</v>
      </c>
      <c r="N11" s="57"/>
    </row>
    <row r="12" spans="1:14" x14ac:dyDescent="0.25">
      <c r="A12" s="58">
        <v>893302</v>
      </c>
      <c r="B12" s="12" t="s">
        <v>119</v>
      </c>
      <c r="C12" s="59" t="s">
        <v>120</v>
      </c>
      <c r="D12" s="12">
        <v>3</v>
      </c>
      <c r="E12" s="18" t="s">
        <v>143</v>
      </c>
      <c r="F12" s="58" t="s">
        <v>216</v>
      </c>
      <c r="G12" s="60" t="s">
        <v>217</v>
      </c>
      <c r="H12" s="58">
        <v>1</v>
      </c>
      <c r="I12" s="58">
        <v>5</v>
      </c>
      <c r="J12" s="61">
        <f>IF(H12&lt;&gt;"",H12*I12,"")</f>
        <v>5</v>
      </c>
      <c r="K12" s="62"/>
      <c r="L12" s="30" t="s">
        <v>19</v>
      </c>
      <c r="M12" s="31" t="s">
        <v>36</v>
      </c>
      <c r="N12" s="57"/>
    </row>
    <row r="13" spans="1:14" x14ac:dyDescent="0.25">
      <c r="A13" s="58">
        <v>890255</v>
      </c>
      <c r="B13" s="12" t="s">
        <v>117</v>
      </c>
      <c r="C13" s="59" t="s">
        <v>118</v>
      </c>
      <c r="D13" s="12">
        <v>3</v>
      </c>
      <c r="E13" s="18" t="s">
        <v>144</v>
      </c>
      <c r="F13" s="58" t="s">
        <v>214</v>
      </c>
      <c r="G13" s="60" t="s">
        <v>215</v>
      </c>
      <c r="H13" s="12">
        <v>1</v>
      </c>
      <c r="I13" s="12">
        <v>5</v>
      </c>
      <c r="J13" s="61">
        <f>IF(H13&lt;&gt;"",H13*I13,"")</f>
        <v>5</v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1.0009999999999999</v>
      </c>
      <c r="I23" s="91">
        <f>H23*10</f>
        <v>10.009999999999998</v>
      </c>
      <c r="J23" s="92">
        <f>SUM(J18:J22,J12:J16)</f>
        <v>10</v>
      </c>
      <c r="K23" s="93">
        <f>J23/I23</f>
        <v>0.99900099900099915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46070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1</v>
      </c>
      <c r="I26" s="54">
        <f>H26*10</f>
        <v>10</v>
      </c>
      <c r="J26" s="55">
        <f>SUM(J27:J31)/I26</f>
        <v>1</v>
      </c>
      <c r="K26" s="56" t="str">
        <f>SUM(J27:J31)&amp;" "&amp;"Hrs"&amp;" "&amp;"GRUPO 1"</f>
        <v>10 Hrs GRUPO 1</v>
      </c>
      <c r="L26" s="30" t="s">
        <v>19</v>
      </c>
      <c r="M26" s="31" t="s">
        <v>48</v>
      </c>
      <c r="N26" s="57"/>
    </row>
    <row r="27" spans="1:14" x14ac:dyDescent="0.25">
      <c r="A27" s="58">
        <v>890255</v>
      </c>
      <c r="B27" s="12" t="s">
        <v>117</v>
      </c>
      <c r="C27" s="59" t="s">
        <v>118</v>
      </c>
      <c r="D27" s="12">
        <v>3</v>
      </c>
      <c r="E27" s="18" t="s">
        <v>144</v>
      </c>
      <c r="F27" s="58" t="s">
        <v>214</v>
      </c>
      <c r="G27" s="60" t="s">
        <v>215</v>
      </c>
      <c r="H27" s="12">
        <v>1</v>
      </c>
      <c r="I27" s="12">
        <v>5</v>
      </c>
      <c r="J27" s="61">
        <f>IF(H27&lt;&gt;"",H27*I27,"")</f>
        <v>5</v>
      </c>
      <c r="K27" s="62"/>
      <c r="L27" s="30" t="s">
        <v>19</v>
      </c>
      <c r="M27" s="31" t="s">
        <v>48</v>
      </c>
      <c r="N27" s="57"/>
    </row>
    <row r="28" spans="1:14" x14ac:dyDescent="0.25">
      <c r="A28" s="12">
        <v>920108</v>
      </c>
      <c r="B28" s="12" t="s">
        <v>127</v>
      </c>
      <c r="C28" s="59" t="s">
        <v>128</v>
      </c>
      <c r="D28" s="12">
        <v>3</v>
      </c>
      <c r="E28" s="18" t="s">
        <v>104</v>
      </c>
      <c r="F28" s="12" t="s">
        <v>129</v>
      </c>
      <c r="G28" s="81" t="s">
        <v>130</v>
      </c>
      <c r="H28" s="12">
        <v>1</v>
      </c>
      <c r="I28" s="12">
        <v>5</v>
      </c>
      <c r="J28" s="61">
        <f>IF(H28&lt;&gt;"",H28*I28,"")</f>
        <v>5</v>
      </c>
      <c r="K28" s="62"/>
      <c r="L28" s="30" t="s">
        <v>19</v>
      </c>
      <c r="M28" s="31" t="s">
        <v>48</v>
      </c>
      <c r="N28" s="57"/>
    </row>
    <row r="29" spans="1:14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1.0009999999999999</v>
      </c>
      <c r="I38" s="91">
        <f>H38*10</f>
        <v>10.009999999999998</v>
      </c>
      <c r="J38" s="92">
        <f>SUM(J33:J37,J27:J31)</f>
        <v>10</v>
      </c>
      <c r="K38" s="93">
        <f>J38/I38</f>
        <v>0.99900099900099915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46071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</v>
      </c>
      <c r="I41" s="54">
        <f>H41*10</f>
        <v>10</v>
      </c>
      <c r="J41" s="55">
        <f>SUM(J42:J46)/I41</f>
        <v>1</v>
      </c>
      <c r="K41" s="56" t="str">
        <f>SUM(J42:J46)&amp;" "&amp;"Hrs"&amp;" "&amp;"GRUPO 1"</f>
        <v>10 Hrs GRUPO 1</v>
      </c>
      <c r="L41" s="30" t="s">
        <v>19</v>
      </c>
      <c r="M41" s="31" t="s">
        <v>49</v>
      </c>
      <c r="N41" s="57"/>
    </row>
    <row r="42" spans="1:14" x14ac:dyDescent="0.25">
      <c r="A42" s="58">
        <v>905556</v>
      </c>
      <c r="B42" s="12" t="s">
        <v>127</v>
      </c>
      <c r="C42" s="59" t="s">
        <v>128</v>
      </c>
      <c r="D42" s="12">
        <v>3</v>
      </c>
      <c r="E42" s="18" t="s">
        <v>222</v>
      </c>
      <c r="F42" s="58" t="s">
        <v>223</v>
      </c>
      <c r="G42" s="60" t="s">
        <v>224</v>
      </c>
      <c r="H42" s="12">
        <v>1</v>
      </c>
      <c r="I42" s="12">
        <v>1</v>
      </c>
      <c r="J42" s="61">
        <f>IF(H42&lt;&gt;"",H42*I42,"")</f>
        <v>1</v>
      </c>
      <c r="K42" s="62"/>
      <c r="L42" s="30" t="s">
        <v>19</v>
      </c>
      <c r="M42" s="31" t="s">
        <v>49</v>
      </c>
      <c r="N42" s="57"/>
    </row>
    <row r="43" spans="1:14" x14ac:dyDescent="0.25">
      <c r="A43" s="58">
        <v>890255</v>
      </c>
      <c r="B43" s="12" t="s">
        <v>117</v>
      </c>
      <c r="C43" s="59" t="s">
        <v>118</v>
      </c>
      <c r="D43" s="12">
        <v>3</v>
      </c>
      <c r="E43" s="18" t="s">
        <v>144</v>
      </c>
      <c r="F43" s="58" t="s">
        <v>214</v>
      </c>
      <c r="G43" s="60" t="s">
        <v>215</v>
      </c>
      <c r="H43" s="12">
        <v>1</v>
      </c>
      <c r="I43" s="12">
        <v>5</v>
      </c>
      <c r="J43" s="61">
        <f>IF(H43&lt;&gt;"",H43*I43,"")</f>
        <v>5</v>
      </c>
      <c r="K43" s="62"/>
      <c r="L43" s="30" t="s">
        <v>19</v>
      </c>
      <c r="M43" s="31" t="s">
        <v>49</v>
      </c>
      <c r="N43" s="57"/>
    </row>
    <row r="44" spans="1:14" x14ac:dyDescent="0.25">
      <c r="A44" s="58">
        <v>898725</v>
      </c>
      <c r="B44" s="12" t="s">
        <v>127</v>
      </c>
      <c r="C44" s="59" t="s">
        <v>128</v>
      </c>
      <c r="D44" s="12">
        <v>3</v>
      </c>
      <c r="E44" s="18" t="s">
        <v>104</v>
      </c>
      <c r="F44" s="58" t="s">
        <v>220</v>
      </c>
      <c r="G44" s="60" t="s">
        <v>221</v>
      </c>
      <c r="H44" s="12">
        <v>1</v>
      </c>
      <c r="I44" s="12">
        <v>4</v>
      </c>
      <c r="J44" s="61">
        <f>IF(H44&lt;&gt;"",H44*I44,"")</f>
        <v>4</v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1.0009999999999999</v>
      </c>
      <c r="I53" s="91">
        <f>H53*10</f>
        <v>10.009999999999998</v>
      </c>
      <c r="J53" s="92">
        <f>SUM(J48:J52,J42:J46)</f>
        <v>10</v>
      </c>
      <c r="K53" s="93">
        <f>J53/I53</f>
        <v>0.99900099900099915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46072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1</v>
      </c>
      <c r="I56" s="54">
        <f>H56*10</f>
        <v>10</v>
      </c>
      <c r="J56" s="55">
        <f>SUM(J57:J61)/I56</f>
        <v>1</v>
      </c>
      <c r="K56" s="56" t="str">
        <f>SUM(J57:J61)&amp;" "&amp;"Hrs"&amp;" "&amp;"GRUPO 1"</f>
        <v>10 Hrs GRUPO 1</v>
      </c>
      <c r="L56" s="30" t="s">
        <v>19</v>
      </c>
      <c r="M56" s="31" t="s">
        <v>50</v>
      </c>
      <c r="N56" s="57"/>
    </row>
    <row r="57" spans="1:14" x14ac:dyDescent="0.25">
      <c r="A57" s="58">
        <v>893302</v>
      </c>
      <c r="B57" s="12" t="s">
        <v>119</v>
      </c>
      <c r="C57" s="59" t="s">
        <v>120</v>
      </c>
      <c r="D57" s="12">
        <v>3</v>
      </c>
      <c r="E57" s="18" t="s">
        <v>143</v>
      </c>
      <c r="F57" s="58" t="s">
        <v>216</v>
      </c>
      <c r="G57" s="60" t="s">
        <v>217</v>
      </c>
      <c r="H57" s="58">
        <v>1</v>
      </c>
      <c r="I57" s="58">
        <v>5</v>
      </c>
      <c r="J57" s="61">
        <f>IF(H57&lt;&gt;"",H57*I57,"")</f>
        <v>5</v>
      </c>
      <c r="K57" s="62"/>
      <c r="L57" s="30" t="s">
        <v>19</v>
      </c>
      <c r="M57" s="31" t="s">
        <v>50</v>
      </c>
      <c r="N57" s="57"/>
    </row>
    <row r="58" spans="1:14" x14ac:dyDescent="0.25">
      <c r="A58" s="12">
        <v>919447</v>
      </c>
      <c r="B58" s="12" t="s">
        <v>127</v>
      </c>
      <c r="C58" s="59" t="s">
        <v>128</v>
      </c>
      <c r="D58" s="12">
        <v>3</v>
      </c>
      <c r="E58" s="18" t="s">
        <v>104</v>
      </c>
      <c r="F58" s="12" t="s">
        <v>218</v>
      </c>
      <c r="G58" s="81" t="s">
        <v>219</v>
      </c>
      <c r="H58" s="12">
        <v>1</v>
      </c>
      <c r="I58" s="12">
        <v>4</v>
      </c>
      <c r="J58" s="61">
        <f>IF(H58&lt;&gt;"",H58*I58,"")</f>
        <v>4</v>
      </c>
      <c r="K58" s="62"/>
      <c r="L58" s="30" t="s">
        <v>19</v>
      </c>
      <c r="M58" s="31" t="s">
        <v>50</v>
      </c>
      <c r="N58" s="57"/>
    </row>
    <row r="59" spans="1:14" x14ac:dyDescent="0.25">
      <c r="A59" s="77">
        <v>915085</v>
      </c>
      <c r="B59" s="78" t="s">
        <v>127</v>
      </c>
      <c r="C59" s="79" t="s">
        <v>128</v>
      </c>
      <c r="D59" s="12">
        <v>3</v>
      </c>
      <c r="E59" s="19" t="s">
        <v>225</v>
      </c>
      <c r="F59" s="12" t="s">
        <v>226</v>
      </c>
      <c r="G59" s="19" t="s">
        <v>227</v>
      </c>
      <c r="H59" s="12">
        <v>1</v>
      </c>
      <c r="I59" s="12">
        <v>1</v>
      </c>
      <c r="J59" s="61">
        <f>IF(H59&lt;&gt;"",H59*I59,"")</f>
        <v>1</v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1.0009999999999999</v>
      </c>
      <c r="I68" s="91">
        <f>H68*10</f>
        <v>10.009999999999998</v>
      </c>
      <c r="J68" s="92">
        <f>SUM(J63:J67,J57:J61)</f>
        <v>10</v>
      </c>
      <c r="K68" s="93">
        <f>J68/I68</f>
        <v>0.99900099900099915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46073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2</v>
      </c>
      <c r="I71" s="54">
        <f>H71*10</f>
        <v>20</v>
      </c>
      <c r="J71" s="55">
        <f>SUM(J72:J76)/I71</f>
        <v>0</v>
      </c>
      <c r="K71" s="56" t="str">
        <f>SUM(J72:J76)&amp;" "&amp;"Hrs"&amp;" "&amp;"GRUPO 1"</f>
        <v>0 Hrs GRUPO 1</v>
      </c>
      <c r="L71" s="30" t="s">
        <v>19</v>
      </c>
      <c r="M71" s="31" t="s">
        <v>51</v>
      </c>
      <c r="N71" s="57"/>
    </row>
    <row r="72" spans="1:14" x14ac:dyDescent="0.25">
      <c r="A72" s="58"/>
      <c r="B72" s="12"/>
      <c r="C72" s="59"/>
      <c r="D72" s="12"/>
      <c r="E72" s="18"/>
      <c r="F72" s="58"/>
      <c r="G72" s="60"/>
      <c r="H72" s="12"/>
      <c r="I72" s="12"/>
      <c r="J72" s="61" t="str">
        <f>IF(H72&lt;&gt;"",H72*I72,"")</f>
        <v/>
      </c>
      <c r="K72" s="62"/>
      <c r="L72" s="30" t="s">
        <v>19</v>
      </c>
      <c r="M72" s="31" t="s">
        <v>51</v>
      </c>
      <c r="N72" s="57"/>
    </row>
    <row r="73" spans="1:14" x14ac:dyDescent="0.25">
      <c r="A73" s="58"/>
      <c r="B73" s="12"/>
      <c r="C73" s="59"/>
      <c r="D73" s="12"/>
      <c r="E73" s="18"/>
      <c r="F73" s="58"/>
      <c r="G73" s="60"/>
      <c r="H73" s="12"/>
      <c r="I73" s="12"/>
      <c r="J73" s="61" t="str">
        <f>IF(H73&lt;&gt;"",H73*I73,"")</f>
        <v/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2.0009999999999999</v>
      </c>
      <c r="I83" s="91">
        <f>H83*10</f>
        <v>20.009999999999998</v>
      </c>
      <c r="J83" s="92">
        <f>SUM(J78:J82,J72:J76)</f>
        <v>0</v>
      </c>
      <c r="K83" s="93">
        <f>J83/I83</f>
        <v>0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46074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2</v>
      </c>
      <c r="I86" s="54">
        <f>H86*10</f>
        <v>20</v>
      </c>
      <c r="J86" s="55">
        <f>SUM(J87:J91)/I86</f>
        <v>0</v>
      </c>
      <c r="K86" s="56" t="str">
        <f>SUM(J87:J91)&amp;" "&amp;"Hrs"&amp;" "&amp;"GRUPO 1"</f>
        <v>0 Hrs GRUPO 1</v>
      </c>
      <c r="L86" s="30" t="s">
        <v>19</v>
      </c>
      <c r="M86" s="31" t="s">
        <v>52</v>
      </c>
      <c r="N86" s="57"/>
    </row>
    <row r="87" spans="1:14" x14ac:dyDescent="0.25">
      <c r="A87" s="58"/>
      <c r="B87" s="12"/>
      <c r="C87" s="59"/>
      <c r="D87" s="12"/>
      <c r="E87" s="18"/>
      <c r="F87" s="58"/>
      <c r="G87" s="60"/>
      <c r="H87" s="12"/>
      <c r="I87" s="12"/>
      <c r="J87" s="61" t="str">
        <f>IF(H87&lt;&gt;"",H87*I87,"")</f>
        <v/>
      </c>
      <c r="K87" s="62"/>
      <c r="L87" s="30" t="s">
        <v>19</v>
      </c>
      <c r="M87" s="31" t="s">
        <v>52</v>
      </c>
      <c r="N87" s="57"/>
    </row>
    <row r="88" spans="1:14" x14ac:dyDescent="0.25">
      <c r="A88" s="12"/>
      <c r="B88" s="12"/>
      <c r="C88" s="59"/>
      <c r="D88" s="12"/>
      <c r="E88" s="18"/>
      <c r="F88" s="12"/>
      <c r="G88" s="81"/>
      <c r="H88" s="12"/>
      <c r="I88" s="12"/>
      <c r="J88" s="61" t="str">
        <f>IF(H88&lt;&gt;"",H88*I88,"")</f>
        <v/>
      </c>
      <c r="K88" s="62"/>
      <c r="L88" s="30" t="s">
        <v>19</v>
      </c>
      <c r="M88" s="31" t="s">
        <v>52</v>
      </c>
      <c r="N88" s="57"/>
    </row>
    <row r="89" spans="1:14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2.0009999999999999</v>
      </c>
      <c r="I98" s="91">
        <f>H98*10</f>
        <v>20.009999999999998</v>
      </c>
      <c r="J98" s="92">
        <f>SUM(J87:J91)</f>
        <v>0</v>
      </c>
      <c r="K98" s="93">
        <f>J98/I98</f>
        <v>0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46075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2</v>
      </c>
      <c r="I101" s="54">
        <f>H101*10</f>
        <v>20</v>
      </c>
      <c r="J101" s="55">
        <f>SUM(J102:J106)/I101</f>
        <v>0</v>
      </c>
      <c r="K101" s="56" t="str">
        <f>SUM(J102:J106)&amp;" "&amp;"Hrs"&amp;" "&amp;"GRUPO 1"</f>
        <v>0 Hrs GRUPO 1</v>
      </c>
      <c r="L101" s="30" t="s">
        <v>19</v>
      </c>
      <c r="M101" s="31" t="s">
        <v>53</v>
      </c>
      <c r="N101" s="57"/>
    </row>
    <row r="102" spans="1:14" x14ac:dyDescent="0.25">
      <c r="A102" s="58"/>
      <c r="B102" s="12"/>
      <c r="C102" s="59"/>
      <c r="D102" s="12"/>
      <c r="E102" s="18"/>
      <c r="F102" s="58"/>
      <c r="G102" s="60"/>
      <c r="H102" s="12"/>
      <c r="I102" s="12"/>
      <c r="J102" s="61" t="str">
        <f>IF(H102&lt;&gt;"",H102*I102,"")</f>
        <v/>
      </c>
      <c r="K102" s="62"/>
      <c r="L102" s="30" t="s">
        <v>19</v>
      </c>
      <c r="M102" s="31" t="s">
        <v>53</v>
      </c>
      <c r="N102" s="110"/>
    </row>
    <row r="103" spans="1:14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2.0009999999999999</v>
      </c>
      <c r="I113" s="92">
        <f>H113*10</f>
        <v>20.009999999999998</v>
      </c>
      <c r="J113" s="92">
        <f>SUM(J108:J112,J102:J106)</f>
        <v>0</v>
      </c>
      <c r="K113" s="93">
        <f>J113/I113</f>
        <v>0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/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9" priority="1" stopIfTrue="1" operator="greaterThan">
      <formula>0.9</formula>
    </cfRule>
    <cfRule type="cellIs" dxfId="8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54EB-C4C5-4C6E-BC85-708060E72794}">
  <dimension ref="A1:N131"/>
  <sheetViews>
    <sheetView workbookViewId="0">
      <selection activeCell="H107" sqref="H107:J107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0.99999999499999992</v>
      </c>
      <c r="C1" s="23">
        <f>AVERAGE(B1:B7)</f>
        <v>0.8571428514285715</v>
      </c>
      <c r="D1" s="24">
        <f>H23</f>
        <v>2.0000000099999999</v>
      </c>
      <c r="E1" s="21" t="e">
        <f>AVERAGE(F1:F6)</f>
        <v>#REF!</v>
      </c>
      <c r="F1" s="25">
        <f>AVERAGE(J11,J26,J41,J56,J71,J86,J101)</f>
        <v>0.8571428571428571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0.99999999499999992</v>
      </c>
      <c r="C2" s="32" t="s">
        <v>21</v>
      </c>
      <c r="D2" s="24">
        <f>H38</f>
        <v>2.0000000099999999</v>
      </c>
      <c r="E2" s="27" t="str">
        <f>SUM(D1:D7)*10&amp;" "&amp;"Horas"&amp;" "&amp;"Hombre"&amp;" "&amp;"Disponibles"&amp;" "&amp;"Semana"</f>
        <v>120,0000007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0.99999999499999992</v>
      </c>
      <c r="C3" s="27"/>
      <c r="D3" s="24">
        <f>H53</f>
        <v>2.0000000099999999</v>
      </c>
      <c r="E3" s="27" t="str">
        <f>SUM(J23,J38,J53,J68,J83,J98,J113)&amp;" "&amp;"Horas"&amp;" "&amp;"Hombre"&amp;" "&amp;"Programadas"</f>
        <v>100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0.99999999499999992</v>
      </c>
      <c r="C4" s="23">
        <f>1-C1</f>
        <v>0.1428571485714285</v>
      </c>
      <c r="D4" s="24">
        <f>H68</f>
        <v>2.0000000099999999</v>
      </c>
      <c r="E4" s="27" t="str">
        <f>(SUM(D1:D7)*10)-(SUM(J23,J38,J53,J68,J83,J98,J113))&amp;" "&amp;"Horas"&amp;" "&amp;"Atención"&amp;" "&amp;"OT"&amp;" "&amp;"Reactivo"</f>
        <v>20,0000007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0.99999999000000017</v>
      </c>
      <c r="C5" s="32" t="s">
        <v>28</v>
      </c>
      <c r="D5" s="24">
        <f>H83</f>
        <v>1.0000000099999999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</v>
      </c>
      <c r="C6" s="27"/>
      <c r="D6" s="24">
        <f>H98</f>
        <v>2.0000000099999999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0.99999999000000017</v>
      </c>
      <c r="C7" s="27"/>
      <c r="D7" s="24">
        <f>H113</f>
        <v>1.0000000099999999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193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46048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2</v>
      </c>
      <c r="I11" s="54">
        <f>H11*10</f>
        <v>20</v>
      </c>
      <c r="J11" s="55">
        <f>SUM(J12:J16)/I11</f>
        <v>1</v>
      </c>
      <c r="K11" s="56" t="str">
        <f>SUM(J12:J16)&amp;" "&amp;"Hrs"&amp;" "&amp;"GRUPO 1"</f>
        <v>20 Hrs GRUPO 1</v>
      </c>
      <c r="L11" s="30" t="s">
        <v>19</v>
      </c>
      <c r="M11" s="31" t="s">
        <v>36</v>
      </c>
      <c r="N11" s="57"/>
    </row>
    <row r="12" spans="1:14" x14ac:dyDescent="0.25">
      <c r="A12" s="58">
        <v>890399</v>
      </c>
      <c r="B12" s="12" t="s">
        <v>91</v>
      </c>
      <c r="C12" s="59" t="s">
        <v>92</v>
      </c>
      <c r="D12" s="12">
        <v>3</v>
      </c>
      <c r="E12" s="18" t="s">
        <v>183</v>
      </c>
      <c r="F12" s="58" t="s">
        <v>211</v>
      </c>
      <c r="G12" s="60" t="s">
        <v>212</v>
      </c>
      <c r="H12" s="58">
        <v>2</v>
      </c>
      <c r="I12" s="58">
        <v>10</v>
      </c>
      <c r="J12" s="61">
        <f>IF(H12&lt;&gt;"",H12*I12,"")</f>
        <v>20</v>
      </c>
      <c r="K12" s="62"/>
      <c r="L12" s="30" t="s">
        <v>19</v>
      </c>
      <c r="M12" s="31" t="s">
        <v>36</v>
      </c>
      <c r="N12" s="57"/>
    </row>
    <row r="13" spans="1:14" x14ac:dyDescent="0.25">
      <c r="A13" s="58"/>
      <c r="B13" s="12"/>
      <c r="C13" s="59"/>
      <c r="D13" s="12"/>
      <c r="E13" s="18"/>
      <c r="F13" s="58"/>
      <c r="G13" s="60"/>
      <c r="H13" s="12"/>
      <c r="I13" s="12"/>
      <c r="J13" s="61" t="str">
        <f>IF(H13&lt;&gt;"",H13*I13,"")</f>
        <v/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128">
        <v>1E-8</v>
      </c>
      <c r="I17" s="129">
        <f>H17*10</f>
        <v>9.9999999999999995E-8</v>
      </c>
      <c r="J17" s="130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2.0000000099999999</v>
      </c>
      <c r="I23" s="91">
        <f>H23*10</f>
        <v>20.000000100000001</v>
      </c>
      <c r="J23" s="92">
        <f>SUM(J18:J22,J12:J16)</f>
        <v>20</v>
      </c>
      <c r="K23" s="93">
        <f>J23/I23</f>
        <v>0.99999999499999992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46049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2</v>
      </c>
      <c r="I26" s="54">
        <f>H26*10</f>
        <v>20</v>
      </c>
      <c r="J26" s="55">
        <f>SUM(J27:J31)/I26</f>
        <v>1</v>
      </c>
      <c r="K26" s="56" t="str">
        <f>SUM(J27:J31)&amp;" "&amp;"Hrs"&amp;" "&amp;"GRUPO 1"</f>
        <v>20 Hrs GRUPO 1</v>
      </c>
      <c r="L26" s="30" t="s">
        <v>19</v>
      </c>
      <c r="M26" s="31" t="s">
        <v>48</v>
      </c>
      <c r="N26" s="57"/>
    </row>
    <row r="27" spans="1:14" x14ac:dyDescent="0.25">
      <c r="A27" s="58">
        <v>890400</v>
      </c>
      <c r="B27" s="12" t="s">
        <v>91</v>
      </c>
      <c r="C27" s="59" t="s">
        <v>92</v>
      </c>
      <c r="D27" s="12">
        <v>3</v>
      </c>
      <c r="E27" s="18" t="s">
        <v>183</v>
      </c>
      <c r="F27" s="58" t="s">
        <v>186</v>
      </c>
      <c r="G27" s="60" t="s">
        <v>187</v>
      </c>
      <c r="H27" s="58">
        <v>2</v>
      </c>
      <c r="I27" s="58">
        <v>10</v>
      </c>
      <c r="J27" s="61">
        <f>IF(H27&lt;&gt;"",H27*I27,"")</f>
        <v>20</v>
      </c>
      <c r="K27" s="62"/>
      <c r="L27" s="30" t="s">
        <v>19</v>
      </c>
      <c r="M27" s="31" t="s">
        <v>48</v>
      </c>
      <c r="N27" s="57"/>
    </row>
    <row r="28" spans="1:14" x14ac:dyDescent="0.25">
      <c r="A28" s="58"/>
      <c r="B28" s="12"/>
      <c r="C28" s="59"/>
      <c r="D28" s="12"/>
      <c r="E28" s="18"/>
      <c r="F28" s="58"/>
      <c r="G28" s="60"/>
      <c r="H28" s="12"/>
      <c r="I28" s="12"/>
      <c r="J28" s="61"/>
      <c r="K28" s="62"/>
      <c r="L28" s="30" t="s">
        <v>19</v>
      </c>
      <c r="M28" s="31" t="s">
        <v>48</v>
      </c>
      <c r="N28" s="57"/>
    </row>
    <row r="29" spans="1:14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128">
        <v>1E-8</v>
      </c>
      <c r="I32" s="129">
        <f>H32*10</f>
        <v>9.9999999999999995E-8</v>
      </c>
      <c r="J32" s="130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2.0000000099999999</v>
      </c>
      <c r="I38" s="91">
        <f>H38*10</f>
        <v>20.000000100000001</v>
      </c>
      <c r="J38" s="92">
        <f>SUM(J33:J37,J27:J31)</f>
        <v>20</v>
      </c>
      <c r="K38" s="93">
        <f>J38/I38</f>
        <v>0.99999999499999992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46050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2</v>
      </c>
      <c r="I41" s="54">
        <f>H41*10</f>
        <v>20</v>
      </c>
      <c r="J41" s="55">
        <f>SUM(J42:J46)/I41</f>
        <v>1</v>
      </c>
      <c r="K41" s="56" t="str">
        <f>SUM(J42:J46)&amp;" "&amp;"Hrs"&amp;" "&amp;"GRUPO 1"</f>
        <v>20 Hrs GRUPO 1</v>
      </c>
      <c r="L41" s="30" t="s">
        <v>19</v>
      </c>
      <c r="M41" s="31" t="s">
        <v>49</v>
      </c>
      <c r="N41" s="57"/>
    </row>
    <row r="42" spans="1:14" x14ac:dyDescent="0.25">
      <c r="A42" s="58">
        <v>890400</v>
      </c>
      <c r="B42" s="12" t="s">
        <v>91</v>
      </c>
      <c r="C42" s="59" t="s">
        <v>92</v>
      </c>
      <c r="D42" s="12">
        <v>3</v>
      </c>
      <c r="E42" s="18" t="s">
        <v>183</v>
      </c>
      <c r="F42" s="58" t="s">
        <v>186</v>
      </c>
      <c r="G42" s="60" t="s">
        <v>187</v>
      </c>
      <c r="H42" s="58">
        <v>2</v>
      </c>
      <c r="I42" s="58">
        <v>10</v>
      </c>
      <c r="J42" s="61">
        <f>IF(H42&lt;&gt;"",H42*I42,"")</f>
        <v>20</v>
      </c>
      <c r="K42" s="62"/>
      <c r="L42" s="30" t="s">
        <v>19</v>
      </c>
      <c r="M42" s="31" t="s">
        <v>49</v>
      </c>
      <c r="N42" s="57"/>
    </row>
    <row r="43" spans="1:14" x14ac:dyDescent="0.25">
      <c r="A43" s="12"/>
      <c r="B43" s="12"/>
      <c r="C43" s="59"/>
      <c r="D43" s="12"/>
      <c r="E43" s="18"/>
      <c r="F43" s="12"/>
      <c r="G43" s="81"/>
      <c r="H43" s="12"/>
      <c r="I43" s="12"/>
      <c r="J43" s="61" t="str">
        <f>IF(H43&lt;&gt;"",H43*I43,"")</f>
        <v/>
      </c>
      <c r="K43" s="62"/>
      <c r="L43" s="30" t="s">
        <v>19</v>
      </c>
      <c r="M43" s="31" t="s">
        <v>49</v>
      </c>
      <c r="N43" s="57"/>
    </row>
    <row r="44" spans="1:14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128">
        <v>1E-8</v>
      </c>
      <c r="I47" s="129">
        <f>H47*10</f>
        <v>9.9999999999999995E-8</v>
      </c>
      <c r="J47" s="130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2.0000000099999999</v>
      </c>
      <c r="I53" s="91">
        <f>H53*10</f>
        <v>20.000000100000001</v>
      </c>
      <c r="J53" s="92">
        <f>SUM(J48:J52,J42:J46)</f>
        <v>20</v>
      </c>
      <c r="K53" s="93">
        <f>J53/I53</f>
        <v>0.99999999499999992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46051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2</v>
      </c>
      <c r="I56" s="54">
        <f>H56*10</f>
        <v>20</v>
      </c>
      <c r="J56" s="55">
        <f>SUM(J57:J61)/I56</f>
        <v>1</v>
      </c>
      <c r="K56" s="56" t="str">
        <f>SUM(J57:J61)&amp;" "&amp;"Hrs"&amp;" "&amp;"GRUPO 1"</f>
        <v>20 Hrs GRUPO 1</v>
      </c>
      <c r="L56" s="30" t="s">
        <v>19</v>
      </c>
      <c r="M56" s="31" t="s">
        <v>50</v>
      </c>
      <c r="N56" s="57"/>
    </row>
    <row r="57" spans="1:14" x14ac:dyDescent="0.25">
      <c r="A57" s="58">
        <v>890400</v>
      </c>
      <c r="B57" s="12" t="s">
        <v>91</v>
      </c>
      <c r="C57" s="59" t="s">
        <v>92</v>
      </c>
      <c r="D57" s="12">
        <v>3</v>
      </c>
      <c r="E57" s="18" t="s">
        <v>183</v>
      </c>
      <c r="F57" s="58" t="s">
        <v>186</v>
      </c>
      <c r="G57" s="60" t="s">
        <v>187</v>
      </c>
      <c r="H57" s="58">
        <v>2</v>
      </c>
      <c r="I57" s="58">
        <v>10</v>
      </c>
      <c r="J57" s="61">
        <f>IF(H57&lt;&gt;"",H57*I57,"")</f>
        <v>20</v>
      </c>
      <c r="K57" s="62"/>
      <c r="L57" s="30" t="s">
        <v>19</v>
      </c>
      <c r="M57" s="31" t="s">
        <v>50</v>
      </c>
      <c r="N57" s="57"/>
    </row>
    <row r="58" spans="1:14" x14ac:dyDescent="0.25">
      <c r="A58" s="12"/>
      <c r="B58" s="12"/>
      <c r="C58" s="59"/>
      <c r="D58" s="12"/>
      <c r="E58" s="18"/>
      <c r="F58" s="12"/>
      <c r="G58" s="81"/>
      <c r="H58" s="12"/>
      <c r="I58" s="12"/>
      <c r="J58" s="61" t="str">
        <f>IF(H58&lt;&gt;"",H58*I58,"")</f>
        <v/>
      </c>
      <c r="K58" s="62"/>
      <c r="L58" s="30" t="s">
        <v>19</v>
      </c>
      <c r="M58" s="31" t="s">
        <v>50</v>
      </c>
      <c r="N58" s="57"/>
    </row>
    <row r="59" spans="1:14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128">
        <v>1E-8</v>
      </c>
      <c r="I62" s="129">
        <f>H62*10</f>
        <v>9.9999999999999995E-8</v>
      </c>
      <c r="J62" s="130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2.0000000099999999</v>
      </c>
      <c r="I68" s="91">
        <f>H68*10</f>
        <v>20.000000100000001</v>
      </c>
      <c r="J68" s="92">
        <f>SUM(J63:J67,J57:J61)</f>
        <v>20</v>
      </c>
      <c r="K68" s="93">
        <f>J68/I68</f>
        <v>0.99999999499999992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46052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1</v>
      </c>
      <c r="I71" s="54">
        <f>H71*10</f>
        <v>10</v>
      </c>
      <c r="J71" s="55">
        <f>SUM(J72:J76)/I71</f>
        <v>1</v>
      </c>
      <c r="K71" s="56" t="str">
        <f>SUM(J72:J76)&amp;" "&amp;"Hrs"&amp;" "&amp;"GRUPO 1"</f>
        <v>10 Hrs GRUPO 1</v>
      </c>
      <c r="L71" s="30" t="s">
        <v>19</v>
      </c>
      <c r="M71" s="31" t="s">
        <v>51</v>
      </c>
      <c r="N71" s="57"/>
    </row>
    <row r="72" spans="1:14" x14ac:dyDescent="0.25">
      <c r="A72" s="58">
        <v>890248</v>
      </c>
      <c r="B72" s="12" t="s">
        <v>91</v>
      </c>
      <c r="C72" s="59" t="s">
        <v>92</v>
      </c>
      <c r="D72" s="12">
        <v>3</v>
      </c>
      <c r="E72" s="18" t="s">
        <v>144</v>
      </c>
      <c r="F72" s="58" t="s">
        <v>207</v>
      </c>
      <c r="G72" s="60" t="s">
        <v>208</v>
      </c>
      <c r="H72" s="58">
        <v>1</v>
      </c>
      <c r="I72" s="58">
        <v>10</v>
      </c>
      <c r="J72" s="61">
        <f>IF(H72&lt;&gt;"",H72*I72,"")</f>
        <v>10</v>
      </c>
      <c r="K72" s="62"/>
      <c r="L72" s="30" t="s">
        <v>19</v>
      </c>
      <c r="M72" s="31" t="s">
        <v>51</v>
      </c>
      <c r="N72" s="57"/>
    </row>
    <row r="73" spans="1:14" x14ac:dyDescent="0.25">
      <c r="A73" s="58"/>
      <c r="B73" s="12"/>
      <c r="C73" s="59"/>
      <c r="D73" s="12"/>
      <c r="E73" s="18"/>
      <c r="F73" s="58"/>
      <c r="G73" s="60"/>
      <c r="H73" s="12"/>
      <c r="I73" s="12"/>
      <c r="J73" s="61" t="str">
        <f>IF(H73&lt;&gt;"",H73*I73,"")</f>
        <v/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128">
        <v>1E-8</v>
      </c>
      <c r="I77" s="129">
        <f>H77*10</f>
        <v>9.9999999999999995E-8</v>
      </c>
      <c r="J77" s="130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1.0000000099999999</v>
      </c>
      <c r="I83" s="91">
        <f>H83*10</f>
        <v>10.000000099999999</v>
      </c>
      <c r="J83" s="92">
        <f>SUM(J78:J82,J72:J76)</f>
        <v>10</v>
      </c>
      <c r="K83" s="93">
        <f>J83/I83</f>
        <v>0.99999999000000017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46053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2</v>
      </c>
      <c r="I86" s="54">
        <f>H86*10</f>
        <v>20</v>
      </c>
      <c r="J86" s="55">
        <f>SUM(J87:J91)/I86</f>
        <v>0</v>
      </c>
      <c r="K86" s="56" t="str">
        <f>SUM(J87:J91)&amp;" "&amp;"Hrs"&amp;" "&amp;"GRUPO 1"</f>
        <v>0 Hrs GRUPO 1</v>
      </c>
      <c r="L86" s="30" t="s">
        <v>19</v>
      </c>
      <c r="M86" s="31" t="s">
        <v>52</v>
      </c>
      <c r="N86" s="57"/>
    </row>
    <row r="87" spans="1:14" x14ac:dyDescent="0.25">
      <c r="A87" s="58"/>
      <c r="B87" s="12"/>
      <c r="C87" s="59"/>
      <c r="D87" s="12"/>
      <c r="E87" s="18"/>
      <c r="F87" s="58"/>
      <c r="G87" s="60"/>
      <c r="H87" s="12"/>
      <c r="I87" s="12"/>
      <c r="J87" s="61"/>
      <c r="K87" s="62"/>
      <c r="L87" s="30" t="s">
        <v>19</v>
      </c>
      <c r="M87" s="31" t="s">
        <v>52</v>
      </c>
      <c r="N87" s="57"/>
    </row>
    <row r="88" spans="1:14" x14ac:dyDescent="0.25">
      <c r="A88" s="58"/>
      <c r="B88" s="12"/>
      <c r="C88" s="59"/>
      <c r="D88" s="12"/>
      <c r="E88" s="18"/>
      <c r="F88" s="58"/>
      <c r="G88" s="60"/>
      <c r="H88" s="12"/>
      <c r="I88" s="12"/>
      <c r="J88" s="61"/>
      <c r="K88" s="62"/>
      <c r="L88" s="30" t="s">
        <v>19</v>
      </c>
      <c r="M88" s="31" t="s">
        <v>52</v>
      </c>
      <c r="N88" s="57"/>
    </row>
    <row r="89" spans="1:14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/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128">
        <v>1E-8</v>
      </c>
      <c r="I92" s="129">
        <f>H92*10</f>
        <v>9.9999999999999995E-8</v>
      </c>
      <c r="J92" s="130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2.0000000099999999</v>
      </c>
      <c r="I98" s="91">
        <f>H98*10</f>
        <v>20.000000100000001</v>
      </c>
      <c r="J98" s="92">
        <f>SUM(J87:J91)</f>
        <v>0</v>
      </c>
      <c r="K98" s="93">
        <f>J98/I98</f>
        <v>0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46054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1</v>
      </c>
      <c r="I101" s="54">
        <f>H101*10</f>
        <v>10</v>
      </c>
      <c r="J101" s="55">
        <f>SUM(J102:J106)/I101</f>
        <v>1</v>
      </c>
      <c r="K101" s="56" t="str">
        <f>SUM(J102:J106)&amp;" "&amp;"Hrs"&amp;" "&amp;"GRUPO 1"</f>
        <v>10 Hrs GRUPO 1</v>
      </c>
      <c r="L101" s="30" t="s">
        <v>19</v>
      </c>
      <c r="M101" s="31" t="s">
        <v>53</v>
      </c>
      <c r="N101" s="57"/>
    </row>
    <row r="102" spans="1:14" x14ac:dyDescent="0.25">
      <c r="A102" s="58">
        <v>890254</v>
      </c>
      <c r="B102" s="12" t="s">
        <v>91</v>
      </c>
      <c r="C102" s="59" t="s">
        <v>92</v>
      </c>
      <c r="D102" s="12">
        <v>3</v>
      </c>
      <c r="E102" s="18" t="s">
        <v>144</v>
      </c>
      <c r="F102" s="58" t="s">
        <v>209</v>
      </c>
      <c r="G102" s="60" t="s">
        <v>210</v>
      </c>
      <c r="H102" s="58">
        <v>1</v>
      </c>
      <c r="I102" s="58">
        <v>10</v>
      </c>
      <c r="J102" s="61">
        <f>IF(H102&lt;&gt;"",H102*I102,"")</f>
        <v>10</v>
      </c>
      <c r="K102" s="62"/>
      <c r="L102" s="30" t="s">
        <v>19</v>
      </c>
      <c r="M102" s="31" t="s">
        <v>53</v>
      </c>
      <c r="N102" s="110"/>
    </row>
    <row r="103" spans="1:14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128">
        <v>1E-8</v>
      </c>
      <c r="I107" s="129">
        <f>H107*10</f>
        <v>9.9999999999999995E-8</v>
      </c>
      <c r="J107" s="130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1.0000000099999999</v>
      </c>
      <c r="I113" s="92">
        <f>H113*10</f>
        <v>10.000000099999999</v>
      </c>
      <c r="J113" s="92">
        <f>SUM(J108:J112,J102:J106)</f>
        <v>10</v>
      </c>
      <c r="K113" s="93">
        <f>J113/I113</f>
        <v>0.99999999000000017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7" priority="1" stopIfTrue="1" operator="greaterThan">
      <formula>0.9</formula>
    </cfRule>
    <cfRule type="cellIs" dxfId="6" priority="2" stopIfTrue="1" operator="greaterThan">
      <formula>0.8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AB2D-9A2A-448A-862A-2EAF2BB3A552}">
  <sheetPr>
    <pageSetUpPr fitToPage="1"/>
  </sheetPr>
  <dimension ref="A1:N131"/>
  <sheetViews>
    <sheetView topLeftCell="A65" zoomScaleNormal="100" zoomScaleSheetLayoutView="70" workbookViewId="0">
      <selection activeCell="E14" sqref="E14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0.99999999000000017</v>
      </c>
      <c r="C1" s="23">
        <f>AVERAGE(B1:B7)</f>
        <v>0.99999999214285717</v>
      </c>
      <c r="D1" s="24">
        <f>H23</f>
        <v>1.0000000099999999</v>
      </c>
      <c r="E1" s="21" t="e">
        <f>AVERAGE(F1:F6)</f>
        <v>#REF!</v>
      </c>
      <c r="F1" s="25">
        <f>AVERAGE(J11,J26,J41,J56,J71,J86,J101)</f>
        <v>1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0.99999999000000017</v>
      </c>
      <c r="C2" s="32" t="s">
        <v>21</v>
      </c>
      <c r="D2" s="24">
        <f>H38</f>
        <v>1.0000000099999999</v>
      </c>
      <c r="E2" s="27" t="str">
        <f>SUM(D1:D7)*10&amp;" "&amp;"Horas"&amp;" "&amp;"Hombre"&amp;" "&amp;"Disponibles"&amp;" "&amp;"Semana"</f>
        <v>100,0000007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0.99999999000000017</v>
      </c>
      <c r="C3" s="27"/>
      <c r="D3" s="24">
        <f>H53</f>
        <v>1.0000000099999999</v>
      </c>
      <c r="E3" s="27" t="str">
        <f>SUM(J23,J38,J53,J68,J83,J98,J113)&amp;" "&amp;"Horas"&amp;" "&amp;"Hombre"&amp;" "&amp;"Programadas"</f>
        <v>100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0.99999999000000017</v>
      </c>
      <c r="C4" s="23">
        <f>1-C1</f>
        <v>7.8571428252516284E-9</v>
      </c>
      <c r="D4" s="24">
        <f>H68</f>
        <v>1.0000000099999999</v>
      </c>
      <c r="E4" s="27" t="str">
        <f>(SUM(D1:D7)*10)-(SUM(J23,J38,J53,J68,J83,J98,J113))&amp;" "&amp;"Horas"&amp;" "&amp;"Atención"&amp;" "&amp;"OT"&amp;" "&amp;"Reactivo"</f>
        <v>6,99999986863986E-07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0.99999999499999992</v>
      </c>
      <c r="C5" s="32" t="s">
        <v>28</v>
      </c>
      <c r="D5" s="24">
        <f>H83</f>
        <v>2.0000000099999999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0.99999999499999992</v>
      </c>
      <c r="C6" s="27"/>
      <c r="D6" s="24">
        <f>H98</f>
        <v>2.0000000099999999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0.99999999499999992</v>
      </c>
      <c r="C7" s="27"/>
      <c r="D7" s="24">
        <f>H113</f>
        <v>2.0000000099999999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193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46048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1</v>
      </c>
      <c r="I11" s="54">
        <f>H11*10</f>
        <v>10</v>
      </c>
      <c r="J11" s="55">
        <f>SUM(J12:J16)/I11</f>
        <v>1</v>
      </c>
      <c r="K11" s="56" t="str">
        <f>SUM(J12:J16)&amp;" "&amp;"Hrs"&amp;" "&amp;"GRUPO 1"</f>
        <v>10 Hrs GRUPO 1</v>
      </c>
      <c r="L11" s="30" t="s">
        <v>19</v>
      </c>
      <c r="M11" s="31" t="s">
        <v>36</v>
      </c>
      <c r="N11" s="57"/>
    </row>
    <row r="12" spans="1:14" x14ac:dyDescent="0.25">
      <c r="A12" s="58">
        <v>890406</v>
      </c>
      <c r="B12" s="12" t="s">
        <v>117</v>
      </c>
      <c r="C12" s="59" t="s">
        <v>118</v>
      </c>
      <c r="D12" s="12">
        <v>3</v>
      </c>
      <c r="E12" s="18" t="s">
        <v>199</v>
      </c>
      <c r="F12" s="58" t="s">
        <v>152</v>
      </c>
      <c r="G12" s="60" t="s">
        <v>153</v>
      </c>
      <c r="H12" s="58">
        <v>1</v>
      </c>
      <c r="I12" s="58">
        <v>10</v>
      </c>
      <c r="J12" s="61">
        <f>IF(H12&lt;&gt;"",H12*I12,"")</f>
        <v>10</v>
      </c>
      <c r="K12" s="62"/>
      <c r="L12" s="30" t="s">
        <v>19</v>
      </c>
      <c r="M12" s="31" t="s">
        <v>36</v>
      </c>
      <c r="N12" s="57"/>
    </row>
    <row r="13" spans="1:14" x14ac:dyDescent="0.25">
      <c r="A13" s="58"/>
      <c r="B13" s="12"/>
      <c r="C13" s="59"/>
      <c r="D13" s="12"/>
      <c r="E13" s="18"/>
      <c r="F13" s="58"/>
      <c r="G13" s="60"/>
      <c r="H13" s="12"/>
      <c r="I13" s="12"/>
      <c r="J13" s="61" t="str">
        <f>IF(H13&lt;&gt;"",H13*I13,"")</f>
        <v/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128">
        <v>1E-8</v>
      </c>
      <c r="I17" s="129">
        <f>H17*10</f>
        <v>9.9999999999999995E-8</v>
      </c>
      <c r="J17" s="130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1.0000000099999999</v>
      </c>
      <c r="I23" s="91">
        <f>H23*10</f>
        <v>10.000000099999999</v>
      </c>
      <c r="J23" s="92">
        <f>SUM(J18:J22,J12:J16)</f>
        <v>10</v>
      </c>
      <c r="K23" s="93">
        <f>J23/I23</f>
        <v>0.99999999000000017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46049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1</v>
      </c>
      <c r="I26" s="54">
        <f>H26*10</f>
        <v>10</v>
      </c>
      <c r="J26" s="55">
        <f>SUM(J27:J31)/I26</f>
        <v>1</v>
      </c>
      <c r="K26" s="56" t="str">
        <f>SUM(J27:J31)&amp;" "&amp;"Hrs"&amp;" "&amp;"GRUPO 1"</f>
        <v>10 Hrs GRUPO 1</v>
      </c>
      <c r="L26" s="30" t="s">
        <v>19</v>
      </c>
      <c r="M26" s="31" t="s">
        <v>48</v>
      </c>
      <c r="N26" s="57"/>
    </row>
    <row r="27" spans="1:14" x14ac:dyDescent="0.25">
      <c r="A27" s="58">
        <v>890406</v>
      </c>
      <c r="B27" s="12" t="s">
        <v>117</v>
      </c>
      <c r="C27" s="59" t="s">
        <v>118</v>
      </c>
      <c r="D27" s="12">
        <v>3</v>
      </c>
      <c r="E27" s="18" t="s">
        <v>199</v>
      </c>
      <c r="F27" s="58" t="s">
        <v>152</v>
      </c>
      <c r="G27" s="60" t="s">
        <v>153</v>
      </c>
      <c r="H27" s="58">
        <v>1</v>
      </c>
      <c r="I27" s="58">
        <v>5</v>
      </c>
      <c r="J27" s="61">
        <f>IF(H27&lt;&gt;"",H27*I27,"")</f>
        <v>5</v>
      </c>
      <c r="K27" s="62"/>
      <c r="L27" s="30" t="s">
        <v>19</v>
      </c>
      <c r="M27" s="31" t="s">
        <v>48</v>
      </c>
      <c r="N27" s="57"/>
    </row>
    <row r="28" spans="1:14" x14ac:dyDescent="0.25">
      <c r="A28" s="58">
        <v>893329</v>
      </c>
      <c r="B28" s="12" t="s">
        <v>119</v>
      </c>
      <c r="C28" s="59" t="s">
        <v>120</v>
      </c>
      <c r="D28" s="12">
        <v>3</v>
      </c>
      <c r="E28" s="18" t="s">
        <v>204</v>
      </c>
      <c r="F28" s="58" t="s">
        <v>202</v>
      </c>
      <c r="G28" s="60" t="s">
        <v>203</v>
      </c>
      <c r="H28" s="12">
        <v>1</v>
      </c>
      <c r="I28" s="12">
        <v>5</v>
      </c>
      <c r="J28" s="61">
        <f>IF(H28&lt;&gt;"",H28*I28,"")</f>
        <v>5</v>
      </c>
      <c r="K28" s="62"/>
      <c r="L28" s="30" t="s">
        <v>19</v>
      </c>
      <c r="M28" s="31" t="s">
        <v>48</v>
      </c>
      <c r="N28" s="57"/>
    </row>
    <row r="29" spans="1:14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128">
        <v>1E-8</v>
      </c>
      <c r="I32" s="129">
        <f>H32*10</f>
        <v>9.9999999999999995E-8</v>
      </c>
      <c r="J32" s="130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1.0000000099999999</v>
      </c>
      <c r="I38" s="91">
        <f>H38*10</f>
        <v>10.000000099999999</v>
      </c>
      <c r="J38" s="92">
        <f>SUM(J33:J37,J27:J31)</f>
        <v>10</v>
      </c>
      <c r="K38" s="93">
        <f>J38/I38</f>
        <v>0.99999999000000017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46050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</v>
      </c>
      <c r="I41" s="54">
        <f>H41*10</f>
        <v>10</v>
      </c>
      <c r="J41" s="55">
        <f>SUM(J42:J46)/I41</f>
        <v>1</v>
      </c>
      <c r="K41" s="56" t="str">
        <f>SUM(J42:J46)&amp;" "&amp;"Hrs"&amp;" "&amp;"GRUPO 1"</f>
        <v>10 Hrs GRUPO 1</v>
      </c>
      <c r="L41" s="30" t="s">
        <v>19</v>
      </c>
      <c r="M41" s="31" t="s">
        <v>49</v>
      </c>
      <c r="N41" s="57"/>
    </row>
    <row r="42" spans="1:14" x14ac:dyDescent="0.25">
      <c r="A42" s="58">
        <v>890397</v>
      </c>
      <c r="B42" s="12" t="s">
        <v>117</v>
      </c>
      <c r="C42" s="59" t="s">
        <v>118</v>
      </c>
      <c r="D42" s="12">
        <v>3</v>
      </c>
      <c r="E42" s="18" t="s">
        <v>183</v>
      </c>
      <c r="F42" s="58" t="s">
        <v>195</v>
      </c>
      <c r="G42" s="60" t="s">
        <v>196</v>
      </c>
      <c r="H42" s="12">
        <v>1</v>
      </c>
      <c r="I42" s="12">
        <v>10</v>
      </c>
      <c r="J42" s="61">
        <f>IF(H42&lt;&gt;"",H42*I42,"")</f>
        <v>10</v>
      </c>
      <c r="K42" s="62"/>
      <c r="L42" s="30" t="s">
        <v>19</v>
      </c>
      <c r="M42" s="31" t="s">
        <v>49</v>
      </c>
      <c r="N42" s="57"/>
    </row>
    <row r="43" spans="1:14" x14ac:dyDescent="0.25">
      <c r="A43" s="12"/>
      <c r="B43" s="12"/>
      <c r="C43" s="59"/>
      <c r="D43" s="12"/>
      <c r="E43" s="18"/>
      <c r="F43" s="12"/>
      <c r="G43" s="81"/>
      <c r="H43" s="12"/>
      <c r="I43" s="12"/>
      <c r="J43" s="61" t="str">
        <f>IF(H43&lt;&gt;"",H43*I43,"")</f>
        <v/>
      </c>
      <c r="K43" s="62"/>
      <c r="L43" s="30" t="s">
        <v>19</v>
      </c>
      <c r="M43" s="31" t="s">
        <v>49</v>
      </c>
      <c r="N43" s="57"/>
    </row>
    <row r="44" spans="1:14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128">
        <v>1E-8</v>
      </c>
      <c r="I47" s="129">
        <f>H47*10</f>
        <v>9.9999999999999995E-8</v>
      </c>
      <c r="J47" s="130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1.0000000099999999</v>
      </c>
      <c r="I53" s="91">
        <f>H53*10</f>
        <v>10.000000099999999</v>
      </c>
      <c r="J53" s="92">
        <f>SUM(J48:J52,J42:J46)</f>
        <v>10</v>
      </c>
      <c r="K53" s="93">
        <f>J53/I53</f>
        <v>0.99999999000000017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46051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1</v>
      </c>
      <c r="I56" s="54">
        <f>H56*10</f>
        <v>10</v>
      </c>
      <c r="J56" s="55">
        <f>SUM(J57:J61)/I56</f>
        <v>1</v>
      </c>
      <c r="K56" s="56" t="str">
        <f>SUM(J57:J61)&amp;" "&amp;"Hrs"&amp;" "&amp;"GRUPO 1"</f>
        <v>10 Hrs GRUPO 1</v>
      </c>
      <c r="L56" s="30" t="s">
        <v>19</v>
      </c>
      <c r="M56" s="31" t="s">
        <v>50</v>
      </c>
      <c r="N56" s="57"/>
    </row>
    <row r="57" spans="1:14" x14ac:dyDescent="0.25">
      <c r="A57" s="58">
        <v>890397</v>
      </c>
      <c r="B57" s="12" t="s">
        <v>117</v>
      </c>
      <c r="C57" s="59" t="s">
        <v>118</v>
      </c>
      <c r="D57" s="12">
        <v>3</v>
      </c>
      <c r="E57" s="18" t="s">
        <v>183</v>
      </c>
      <c r="F57" s="58" t="s">
        <v>195</v>
      </c>
      <c r="G57" s="60" t="s">
        <v>196</v>
      </c>
      <c r="H57" s="12">
        <v>1</v>
      </c>
      <c r="I57" s="12">
        <v>10</v>
      </c>
      <c r="J57" s="61">
        <f>IF(H57&lt;&gt;"",H57*I57,"")</f>
        <v>10</v>
      </c>
      <c r="K57" s="62"/>
      <c r="L57" s="30" t="s">
        <v>19</v>
      </c>
      <c r="M57" s="31" t="s">
        <v>50</v>
      </c>
      <c r="N57" s="57"/>
    </row>
    <row r="58" spans="1:14" x14ac:dyDescent="0.25">
      <c r="A58" s="12"/>
      <c r="B58" s="12"/>
      <c r="C58" s="59"/>
      <c r="D58" s="12"/>
      <c r="E58" s="18"/>
      <c r="F58" s="12"/>
      <c r="G58" s="81"/>
      <c r="H58" s="12"/>
      <c r="I58" s="12"/>
      <c r="J58" s="61" t="str">
        <f>IF(H58&lt;&gt;"",H58*I58,"")</f>
        <v/>
      </c>
      <c r="K58" s="62"/>
      <c r="L58" s="30" t="s">
        <v>19</v>
      </c>
      <c r="M58" s="31" t="s">
        <v>50</v>
      </c>
      <c r="N58" s="57"/>
    </row>
    <row r="59" spans="1:14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128">
        <v>1E-8</v>
      </c>
      <c r="I62" s="129">
        <f>H62*10</f>
        <v>9.9999999999999995E-8</v>
      </c>
      <c r="J62" s="130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1.0000000099999999</v>
      </c>
      <c r="I68" s="91">
        <f>H68*10</f>
        <v>10.000000099999999</v>
      </c>
      <c r="J68" s="92">
        <f>SUM(J63:J67,J57:J61)</f>
        <v>10</v>
      </c>
      <c r="K68" s="93">
        <f>J68/I68</f>
        <v>0.99999999000000017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46052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2</v>
      </c>
      <c r="I71" s="54">
        <f>H71*10</f>
        <v>20</v>
      </c>
      <c r="J71" s="55">
        <f>SUM(J72:J76)/I71</f>
        <v>1</v>
      </c>
      <c r="K71" s="56" t="str">
        <f>SUM(J72:J76)&amp;" "&amp;"Hrs"&amp;" "&amp;"GRUPO 1"</f>
        <v>20 Hrs GRUPO 1</v>
      </c>
      <c r="L71" s="30" t="s">
        <v>19</v>
      </c>
      <c r="M71" s="31" t="s">
        <v>51</v>
      </c>
      <c r="N71" s="57"/>
    </row>
    <row r="72" spans="1:14" x14ac:dyDescent="0.25">
      <c r="A72" s="58">
        <v>890371</v>
      </c>
      <c r="B72" s="12" t="s">
        <v>117</v>
      </c>
      <c r="C72" s="59" t="s">
        <v>118</v>
      </c>
      <c r="D72" s="12">
        <v>3</v>
      </c>
      <c r="E72" s="18" t="s">
        <v>144</v>
      </c>
      <c r="F72" s="58" t="s">
        <v>200</v>
      </c>
      <c r="G72" s="60" t="s">
        <v>201</v>
      </c>
      <c r="H72" s="12">
        <v>2</v>
      </c>
      <c r="I72" s="12">
        <v>10</v>
      </c>
      <c r="J72" s="61">
        <f>IF(H72&lt;&gt;"",H72*I72,"")</f>
        <v>20</v>
      </c>
      <c r="K72" s="62"/>
      <c r="L72" s="30" t="s">
        <v>19</v>
      </c>
      <c r="M72" s="31" t="s">
        <v>51</v>
      </c>
      <c r="N72" s="57"/>
    </row>
    <row r="73" spans="1:14" x14ac:dyDescent="0.25">
      <c r="A73" s="58"/>
      <c r="B73" s="12"/>
      <c r="C73" s="59"/>
      <c r="D73" s="12"/>
      <c r="E73" s="18"/>
      <c r="F73" s="58"/>
      <c r="G73" s="60"/>
      <c r="H73" s="12"/>
      <c r="I73" s="12"/>
      <c r="J73" s="61" t="str">
        <f>IF(H73&lt;&gt;"",H73*I73,"")</f>
        <v/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128">
        <v>1E-8</v>
      </c>
      <c r="I77" s="129">
        <f>H77*10</f>
        <v>9.9999999999999995E-8</v>
      </c>
      <c r="J77" s="130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2.0000000099999999</v>
      </c>
      <c r="I83" s="91">
        <f>H83*10</f>
        <v>20.000000100000001</v>
      </c>
      <c r="J83" s="92">
        <f>SUM(J78:J82,J72:J76)</f>
        <v>20</v>
      </c>
      <c r="K83" s="93">
        <f>J83/I83</f>
        <v>0.99999999499999992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46053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2</v>
      </c>
      <c r="I86" s="54">
        <f>H86*10</f>
        <v>20</v>
      </c>
      <c r="J86" s="55">
        <f>SUM(J87:J91)/I86</f>
        <v>1</v>
      </c>
      <c r="K86" s="56" t="str">
        <f>SUM(J87:J91)&amp;" "&amp;"Hrs"&amp;" "&amp;"GRUPO 1"</f>
        <v>20 Hrs GRUPO 1</v>
      </c>
      <c r="L86" s="30" t="s">
        <v>19</v>
      </c>
      <c r="M86" s="31" t="s">
        <v>52</v>
      </c>
      <c r="N86" s="57"/>
    </row>
    <row r="87" spans="1:14" x14ac:dyDescent="0.25">
      <c r="A87" s="58">
        <v>893329</v>
      </c>
      <c r="B87" s="12" t="s">
        <v>119</v>
      </c>
      <c r="C87" s="59" t="s">
        <v>120</v>
      </c>
      <c r="D87" s="12">
        <v>3</v>
      </c>
      <c r="E87" s="18" t="s">
        <v>204</v>
      </c>
      <c r="F87" s="58" t="s">
        <v>202</v>
      </c>
      <c r="G87" s="60" t="s">
        <v>203</v>
      </c>
      <c r="H87" s="12">
        <v>2</v>
      </c>
      <c r="I87" s="12">
        <v>5</v>
      </c>
      <c r="J87" s="61">
        <f>IF(H87&lt;&gt;"",H87*I87,"")</f>
        <v>10</v>
      </c>
      <c r="K87" s="62"/>
      <c r="L87" s="30" t="s">
        <v>19</v>
      </c>
      <c r="M87" s="31" t="s">
        <v>52</v>
      </c>
      <c r="N87" s="57"/>
    </row>
    <row r="88" spans="1:14" x14ac:dyDescent="0.25">
      <c r="A88" s="58">
        <v>890371</v>
      </c>
      <c r="B88" s="12" t="s">
        <v>117</v>
      </c>
      <c r="C88" s="59" t="s">
        <v>118</v>
      </c>
      <c r="D88" s="12">
        <v>3</v>
      </c>
      <c r="E88" s="18" t="s">
        <v>144</v>
      </c>
      <c r="F88" s="58" t="s">
        <v>200</v>
      </c>
      <c r="G88" s="60" t="s">
        <v>201</v>
      </c>
      <c r="H88" s="12">
        <v>2</v>
      </c>
      <c r="I88" s="12">
        <v>2</v>
      </c>
      <c r="J88" s="61">
        <f>IF(H88&lt;&gt;"",H88*I88,"")</f>
        <v>4</v>
      </c>
      <c r="K88" s="62"/>
      <c r="L88" s="30" t="s">
        <v>19</v>
      </c>
      <c r="M88" s="31" t="s">
        <v>52</v>
      </c>
      <c r="N88" s="57"/>
    </row>
    <row r="89" spans="1:14" x14ac:dyDescent="0.25">
      <c r="A89" s="77">
        <v>890401</v>
      </c>
      <c r="B89" s="12" t="s">
        <v>117</v>
      </c>
      <c r="C89" s="59" t="s">
        <v>118</v>
      </c>
      <c r="D89" s="12">
        <v>3</v>
      </c>
      <c r="E89" s="19" t="s">
        <v>183</v>
      </c>
      <c r="F89" s="12" t="s">
        <v>197</v>
      </c>
      <c r="G89" s="19" t="s">
        <v>198</v>
      </c>
      <c r="H89" s="12">
        <v>2</v>
      </c>
      <c r="I89" s="12">
        <v>3</v>
      </c>
      <c r="J89" s="61">
        <f>IF(H89&lt;&gt;"",H89*I89,"")</f>
        <v>6</v>
      </c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128">
        <v>1E-8</v>
      </c>
      <c r="I92" s="129">
        <f>H92*10</f>
        <v>9.9999999999999995E-8</v>
      </c>
      <c r="J92" s="130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2.0000000099999999</v>
      </c>
      <c r="I98" s="91">
        <f>H98*10</f>
        <v>20.000000100000001</v>
      </c>
      <c r="J98" s="92">
        <f>SUM(J87:J91)</f>
        <v>20</v>
      </c>
      <c r="K98" s="93">
        <f>J98/I98</f>
        <v>0.99999999499999992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46054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2</v>
      </c>
      <c r="I101" s="54">
        <f>H101*10</f>
        <v>20</v>
      </c>
      <c r="J101" s="55">
        <f>SUM(J102:J106)/I101</f>
        <v>1</v>
      </c>
      <c r="K101" s="56" t="str">
        <f>SUM(J102:J106)&amp;" "&amp;"Hrs"&amp;" "&amp;"GRUPO 1"</f>
        <v>20 Hrs GRUPO 1</v>
      </c>
      <c r="L101" s="30" t="s">
        <v>19</v>
      </c>
      <c r="M101" s="31" t="s">
        <v>53</v>
      </c>
      <c r="N101" s="57"/>
    </row>
    <row r="102" spans="1:14" x14ac:dyDescent="0.25">
      <c r="A102" s="58">
        <v>890401</v>
      </c>
      <c r="B102" s="12" t="s">
        <v>117</v>
      </c>
      <c r="C102" s="59" t="s">
        <v>118</v>
      </c>
      <c r="D102" s="12">
        <v>3</v>
      </c>
      <c r="E102" s="18" t="s">
        <v>183</v>
      </c>
      <c r="F102" s="58" t="s">
        <v>197</v>
      </c>
      <c r="G102" s="60" t="s">
        <v>198</v>
      </c>
      <c r="H102" s="12">
        <v>2</v>
      </c>
      <c r="I102" s="12">
        <v>10</v>
      </c>
      <c r="J102" s="61">
        <f>IF(H102&lt;&gt;"",H102*I102,"")</f>
        <v>20</v>
      </c>
      <c r="K102" s="62"/>
      <c r="L102" s="30" t="s">
        <v>19</v>
      </c>
      <c r="M102" s="31" t="s">
        <v>53</v>
      </c>
      <c r="N102" s="110"/>
    </row>
    <row r="103" spans="1:14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128">
        <v>1E-8</v>
      </c>
      <c r="I107" s="129">
        <f>H107*10</f>
        <v>9.9999999999999995E-8</v>
      </c>
      <c r="J107" s="130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2.0000000099999999</v>
      </c>
      <c r="I113" s="92">
        <f>H113*10</f>
        <v>20.000000100000001</v>
      </c>
      <c r="J113" s="92">
        <f>SUM(J108:J112,J102:J106)</f>
        <v>20</v>
      </c>
      <c r="K113" s="93">
        <f>J113/I113</f>
        <v>0.99999999499999992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/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5" priority="1" stopIfTrue="1" operator="greaterThan">
      <formula>0.9</formula>
    </cfRule>
    <cfRule type="cellIs" dxfId="4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C296-CF45-483D-BCDD-EF3CEE97AA5A}">
  <sheetPr>
    <pageSetUpPr fitToPage="1"/>
  </sheetPr>
  <dimension ref="A1:N131"/>
  <sheetViews>
    <sheetView topLeftCell="A16" zoomScaleNormal="100" zoomScaleSheetLayoutView="70" workbookViewId="0">
      <selection activeCell="A27" sqref="A27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0.99900099900099915</v>
      </c>
      <c r="C1" s="23">
        <f>AVERAGE(B1:B7)</f>
        <v>0.57085771371485661</v>
      </c>
      <c r="D1" s="24">
        <f>H23</f>
        <v>1.0009999999999999</v>
      </c>
      <c r="E1" s="21" t="e">
        <f>AVERAGE(F1:F6)</f>
        <v>#REF!</v>
      </c>
      <c r="F1" s="25">
        <f>AVERAGE(J11,J26,J41,J56,J71,J86,J101)</f>
        <v>0.5714285714285714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0.99900099900099915</v>
      </c>
      <c r="C2" s="32" t="s">
        <v>21</v>
      </c>
      <c r="D2" s="24">
        <f>H38</f>
        <v>1.0009999999999999</v>
      </c>
      <c r="E2" s="27" t="str">
        <f>SUM(D1:D7)*10&amp;" "&amp;"Horas"&amp;" "&amp;"Hombre"&amp;" "&amp;"Disponibles"&amp;" "&amp;"Semana"</f>
        <v>100,07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0.99900099900099915</v>
      </c>
      <c r="C3" s="27"/>
      <c r="D3" s="24">
        <f>H53</f>
        <v>1.0009999999999999</v>
      </c>
      <c r="E3" s="27" t="str">
        <f>SUM(J23,J38,J53,J68,J83,J98,J113)&amp;" "&amp;"Horas"&amp;" "&amp;"Hombre"&amp;" "&amp;"Programadas"</f>
        <v>40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0.99900099900099915</v>
      </c>
      <c r="C4" s="23">
        <f>1-C1</f>
        <v>0.42914228628514339</v>
      </c>
      <c r="D4" s="24">
        <f>H68</f>
        <v>1.0009999999999999</v>
      </c>
      <c r="E4" s="27" t="str">
        <f>(SUM(D1:D7)*10)-(SUM(J23,J38,J53,J68,J83,J98,J113))&amp;" "&amp;"Horas"&amp;" "&amp;"Atención"&amp;" "&amp;"OT"&amp;" "&amp;"Reactivo"</f>
        <v>60,07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</v>
      </c>
      <c r="C5" s="32" t="s">
        <v>28</v>
      </c>
      <c r="D5" s="24">
        <f>H83</f>
        <v>2.0009999999999999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</v>
      </c>
      <c r="C6" s="27"/>
      <c r="D6" s="24">
        <f>H98</f>
        <v>2.0009999999999999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</v>
      </c>
      <c r="C7" s="27"/>
      <c r="D7" s="24">
        <f>H113</f>
        <v>2.0009999999999999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193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46048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1</v>
      </c>
      <c r="I11" s="54">
        <f>H11*10</f>
        <v>10</v>
      </c>
      <c r="J11" s="55">
        <f>SUM(J12:J16)/I11</f>
        <v>1</v>
      </c>
      <c r="K11" s="56" t="str">
        <f>SUM(J12:J16)&amp;" "&amp;"Hrs"&amp;" "&amp;"GRUPO 1"</f>
        <v>10 Hrs GRUPO 1</v>
      </c>
      <c r="L11" s="30" t="s">
        <v>19</v>
      </c>
      <c r="M11" s="31" t="s">
        <v>36</v>
      </c>
      <c r="N11" s="57"/>
    </row>
    <row r="12" spans="1:14" x14ac:dyDescent="0.25">
      <c r="A12" s="58">
        <v>890398</v>
      </c>
      <c r="B12" s="12" t="s">
        <v>117</v>
      </c>
      <c r="C12" s="59" t="s">
        <v>118</v>
      </c>
      <c r="D12" s="12">
        <v>3</v>
      </c>
      <c r="E12" s="18" t="s">
        <v>183</v>
      </c>
      <c r="F12" s="58" t="s">
        <v>184</v>
      </c>
      <c r="G12" s="60" t="s">
        <v>185</v>
      </c>
      <c r="H12" s="58">
        <v>1</v>
      </c>
      <c r="I12" s="58">
        <v>10</v>
      </c>
      <c r="J12" s="61">
        <f>IF(H12&lt;&gt;"",H12*I12,"")</f>
        <v>10</v>
      </c>
      <c r="K12" s="62"/>
      <c r="L12" s="30" t="s">
        <v>19</v>
      </c>
      <c r="M12" s="31" t="s">
        <v>36</v>
      </c>
      <c r="N12" s="57"/>
    </row>
    <row r="13" spans="1:14" x14ac:dyDescent="0.25">
      <c r="A13" s="58"/>
      <c r="B13" s="12"/>
      <c r="C13" s="59"/>
      <c r="D13" s="12"/>
      <c r="E13" s="18"/>
      <c r="F13" s="58"/>
      <c r="G13" s="60"/>
      <c r="H13" s="12"/>
      <c r="I13" s="12"/>
      <c r="J13" s="61" t="str">
        <f>IF(H13&lt;&gt;"",H13*I13,"")</f>
        <v/>
      </c>
      <c r="K13" s="62"/>
      <c r="L13" s="26" t="s">
        <v>19</v>
      </c>
      <c r="M13" s="31" t="s">
        <v>36</v>
      </c>
      <c r="N13" s="31"/>
    </row>
    <row r="14" spans="1:14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1.0009999999999999</v>
      </c>
      <c r="I23" s="91">
        <f>H23*10</f>
        <v>10.009999999999998</v>
      </c>
      <c r="J23" s="92">
        <f>SUM(J18:J22,J12:J16)</f>
        <v>10</v>
      </c>
      <c r="K23" s="93">
        <f>J23/I23</f>
        <v>0.99900099900099915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46049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1</v>
      </c>
      <c r="I26" s="54">
        <f>H26*10</f>
        <v>10</v>
      </c>
      <c r="J26" s="55">
        <f>SUM(J27:J31)/I26</f>
        <v>1</v>
      </c>
      <c r="K26" s="56" t="str">
        <f>SUM(J27:J31)&amp;" "&amp;"Hrs"&amp;" "&amp;"GRUPO 1"</f>
        <v>10 Hrs GRUPO 1</v>
      </c>
      <c r="L26" s="30" t="s">
        <v>19</v>
      </c>
      <c r="M26" s="31" t="s">
        <v>48</v>
      </c>
      <c r="N26" s="57"/>
    </row>
    <row r="27" spans="1:14" x14ac:dyDescent="0.25">
      <c r="A27" s="58">
        <v>890398</v>
      </c>
      <c r="B27" s="12" t="s">
        <v>117</v>
      </c>
      <c r="C27" s="59" t="s">
        <v>118</v>
      </c>
      <c r="D27" s="12">
        <v>3</v>
      </c>
      <c r="E27" s="18" t="s">
        <v>183</v>
      </c>
      <c r="F27" s="58" t="s">
        <v>184</v>
      </c>
      <c r="G27" s="60" t="s">
        <v>185</v>
      </c>
      <c r="H27" s="12">
        <v>1</v>
      </c>
      <c r="I27" s="12">
        <v>8</v>
      </c>
      <c r="J27" s="61">
        <f>IF(H27&lt;&gt;"",H27*I27,"")</f>
        <v>8</v>
      </c>
      <c r="K27" s="62"/>
      <c r="L27" s="30" t="s">
        <v>19</v>
      </c>
      <c r="M27" s="31" t="s">
        <v>48</v>
      </c>
      <c r="N27" s="57"/>
    </row>
    <row r="28" spans="1:14" x14ac:dyDescent="0.25">
      <c r="A28" s="12">
        <v>921963</v>
      </c>
      <c r="B28" s="12" t="s">
        <v>127</v>
      </c>
      <c r="C28" s="59" t="s">
        <v>128</v>
      </c>
      <c r="D28" s="12">
        <v>3</v>
      </c>
      <c r="E28" s="18" t="s">
        <v>124</v>
      </c>
      <c r="F28" s="12" t="s">
        <v>125</v>
      </c>
      <c r="G28" s="81" t="s">
        <v>126</v>
      </c>
      <c r="H28" s="12">
        <v>1</v>
      </c>
      <c r="I28" s="12">
        <v>2</v>
      </c>
      <c r="J28" s="61">
        <f>IF(H28&lt;&gt;"",H28*I28,"")</f>
        <v>2</v>
      </c>
      <c r="K28" s="62"/>
      <c r="L28" s="30" t="s">
        <v>19</v>
      </c>
      <c r="M28" s="31" t="s">
        <v>48</v>
      </c>
      <c r="N28" s="57"/>
    </row>
    <row r="29" spans="1:14" x14ac:dyDescent="0.25">
      <c r="A29" s="77"/>
      <c r="B29" s="78"/>
      <c r="C29" s="79"/>
      <c r="D29" s="12"/>
      <c r="E29" s="19"/>
      <c r="F29" s="12"/>
      <c r="G29" s="19"/>
      <c r="H29" s="12"/>
      <c r="I29" s="12"/>
      <c r="J29" s="61" t="str">
        <f>IF(H29&lt;&gt;"",H29*I29,"")</f>
        <v/>
      </c>
      <c r="K29" s="62"/>
      <c r="L29" s="30" t="s">
        <v>19</v>
      </c>
      <c r="M29" s="31" t="s">
        <v>48</v>
      </c>
      <c r="N29" s="57"/>
    </row>
    <row r="30" spans="1:14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1.0009999999999999</v>
      </c>
      <c r="I38" s="91">
        <f>H38*10</f>
        <v>10.009999999999998</v>
      </c>
      <c r="J38" s="92">
        <f>SUM(J33:J37,J27:J31)</f>
        <v>10</v>
      </c>
      <c r="K38" s="93">
        <f>J38/I38</f>
        <v>0.99900099900099915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46050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</v>
      </c>
      <c r="I41" s="54">
        <f>H41*10</f>
        <v>10</v>
      </c>
      <c r="J41" s="55">
        <f>SUM(J42:J46)/I41</f>
        <v>1</v>
      </c>
      <c r="K41" s="56" t="str">
        <f>SUM(J42:J46)&amp;" "&amp;"Hrs"&amp;" "&amp;"GRUPO 1"</f>
        <v>10 Hrs GRUPO 1</v>
      </c>
      <c r="L41" s="30" t="s">
        <v>19</v>
      </c>
      <c r="M41" s="31" t="s">
        <v>49</v>
      </c>
      <c r="N41" s="57"/>
    </row>
    <row r="42" spans="1:14" x14ac:dyDescent="0.25">
      <c r="A42" s="58">
        <v>890376</v>
      </c>
      <c r="B42" s="12" t="s">
        <v>117</v>
      </c>
      <c r="C42" s="59" t="s">
        <v>118</v>
      </c>
      <c r="D42" s="12">
        <v>3</v>
      </c>
      <c r="E42" s="18" t="s">
        <v>144</v>
      </c>
      <c r="F42" s="58" t="s">
        <v>181</v>
      </c>
      <c r="G42" s="60" t="s">
        <v>182</v>
      </c>
      <c r="H42" s="12">
        <v>1</v>
      </c>
      <c r="I42" s="12">
        <v>10</v>
      </c>
      <c r="J42" s="61">
        <f>IF(H42&lt;&gt;"",H42*I42,"")</f>
        <v>10</v>
      </c>
      <c r="K42" s="62"/>
      <c r="L42" s="30" t="s">
        <v>19</v>
      </c>
      <c r="M42" s="31" t="s">
        <v>49</v>
      </c>
      <c r="N42" s="57"/>
    </row>
    <row r="43" spans="1:14" x14ac:dyDescent="0.25">
      <c r="A43" s="12"/>
      <c r="B43" s="12"/>
      <c r="C43" s="59"/>
      <c r="D43" s="12"/>
      <c r="E43" s="18"/>
      <c r="F43" s="12"/>
      <c r="G43" s="81"/>
      <c r="H43" s="12"/>
      <c r="I43" s="12"/>
      <c r="J43" s="61" t="str">
        <f>IF(H43&lt;&gt;"",H43*I43,"")</f>
        <v/>
      </c>
      <c r="K43" s="62"/>
      <c r="L43" s="30" t="s">
        <v>19</v>
      </c>
      <c r="M43" s="31" t="s">
        <v>49</v>
      </c>
      <c r="N43" s="57"/>
    </row>
    <row r="44" spans="1:14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1.0009999999999999</v>
      </c>
      <c r="I53" s="91">
        <f>H53*10</f>
        <v>10.009999999999998</v>
      </c>
      <c r="J53" s="92">
        <f>SUM(J48:J52,J42:J46)</f>
        <v>10</v>
      </c>
      <c r="K53" s="93">
        <f>J53/I53</f>
        <v>0.99900099900099915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46051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1</v>
      </c>
      <c r="I56" s="54">
        <f>H56*10</f>
        <v>10</v>
      </c>
      <c r="J56" s="55">
        <f>SUM(J57:J61)/I56</f>
        <v>1</v>
      </c>
      <c r="K56" s="56" t="str">
        <f>SUM(J57:J61)&amp;" "&amp;"Hrs"&amp;" "&amp;"GRUPO 1"</f>
        <v>10 Hrs GRUPO 1</v>
      </c>
      <c r="L56" s="30" t="s">
        <v>19</v>
      </c>
      <c r="M56" s="31" t="s">
        <v>50</v>
      </c>
      <c r="N56" s="57"/>
    </row>
    <row r="57" spans="1:14" x14ac:dyDescent="0.25">
      <c r="A57" s="58">
        <v>919332</v>
      </c>
      <c r="B57" s="12" t="s">
        <v>127</v>
      </c>
      <c r="C57" s="59" t="s">
        <v>128</v>
      </c>
      <c r="D57" s="12">
        <v>3</v>
      </c>
      <c r="E57" s="18" t="s">
        <v>104</v>
      </c>
      <c r="F57" s="58" t="s">
        <v>186</v>
      </c>
      <c r="G57" s="60" t="s">
        <v>187</v>
      </c>
      <c r="H57" s="12">
        <v>1</v>
      </c>
      <c r="I57" s="12">
        <v>4</v>
      </c>
      <c r="J57" s="61">
        <f>IF(H57&lt;&gt;"",H57*I57,"")</f>
        <v>4</v>
      </c>
      <c r="K57" s="62"/>
      <c r="L57" s="30" t="s">
        <v>19</v>
      </c>
      <c r="M57" s="31" t="s">
        <v>50</v>
      </c>
      <c r="N57" s="57"/>
    </row>
    <row r="58" spans="1:14" x14ac:dyDescent="0.25">
      <c r="A58" s="12">
        <v>913463</v>
      </c>
      <c r="B58" s="12" t="s">
        <v>127</v>
      </c>
      <c r="C58" s="59" t="s">
        <v>128</v>
      </c>
      <c r="D58" s="12">
        <v>3</v>
      </c>
      <c r="E58" s="18" t="s">
        <v>104</v>
      </c>
      <c r="F58" s="12" t="s">
        <v>188</v>
      </c>
      <c r="G58" s="81" t="s">
        <v>189</v>
      </c>
      <c r="H58" s="12">
        <v>1</v>
      </c>
      <c r="I58" s="12">
        <v>4</v>
      </c>
      <c r="J58" s="61">
        <f>IF(H58&lt;&gt;"",H58*I58,"")</f>
        <v>4</v>
      </c>
      <c r="K58" s="62"/>
      <c r="L58" s="30" t="s">
        <v>19</v>
      </c>
      <c r="M58" s="31" t="s">
        <v>50</v>
      </c>
      <c r="N58" s="57"/>
    </row>
    <row r="59" spans="1:14" x14ac:dyDescent="0.25">
      <c r="A59" s="77">
        <v>924606</v>
      </c>
      <c r="B59" s="78" t="s">
        <v>127</v>
      </c>
      <c r="C59" s="79" t="s">
        <v>128</v>
      </c>
      <c r="D59" s="12">
        <v>3</v>
      </c>
      <c r="E59" s="19" t="s">
        <v>190</v>
      </c>
      <c r="F59" s="12" t="s">
        <v>191</v>
      </c>
      <c r="G59" s="19" t="s">
        <v>192</v>
      </c>
      <c r="H59" s="12">
        <v>1</v>
      </c>
      <c r="I59" s="12">
        <v>2</v>
      </c>
      <c r="J59" s="61">
        <f>IF(H59&lt;&gt;"",H59*I59,"")</f>
        <v>2</v>
      </c>
      <c r="K59" s="62"/>
      <c r="L59" s="30" t="s">
        <v>19</v>
      </c>
      <c r="M59" s="31" t="s">
        <v>50</v>
      </c>
      <c r="N59" s="57"/>
    </row>
    <row r="60" spans="1:14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1.0009999999999999</v>
      </c>
      <c r="I68" s="91">
        <f>H68*10</f>
        <v>10.009999999999998</v>
      </c>
      <c r="J68" s="92">
        <f>SUM(J63:J67,J57:J61)</f>
        <v>10</v>
      </c>
      <c r="K68" s="93">
        <f>J68/I68</f>
        <v>0.99900099900099915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46052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2</v>
      </c>
      <c r="I71" s="54">
        <f>H71*10</f>
        <v>20</v>
      </c>
      <c r="J71" s="55">
        <f>SUM(J72:J76)/I71</f>
        <v>0</v>
      </c>
      <c r="K71" s="56" t="str">
        <f>SUM(J72:J76)&amp;" "&amp;"Hrs"&amp;" "&amp;"GRUPO 1"</f>
        <v>0 Hrs GRUPO 1</v>
      </c>
      <c r="L71" s="30" t="s">
        <v>19</v>
      </c>
      <c r="M71" s="31" t="s">
        <v>51</v>
      </c>
      <c r="N71" s="57"/>
    </row>
    <row r="72" spans="1:14" x14ac:dyDescent="0.25">
      <c r="A72" s="58"/>
      <c r="B72" s="12"/>
      <c r="C72" s="59"/>
      <c r="D72" s="12"/>
      <c r="E72" s="18"/>
      <c r="F72" s="58"/>
      <c r="G72" s="60"/>
      <c r="H72" s="12"/>
      <c r="I72" s="12"/>
      <c r="J72" s="61" t="str">
        <f>IF(H72&lt;&gt;"",H72*I72,"")</f>
        <v/>
      </c>
      <c r="K72" s="62"/>
      <c r="L72" s="30" t="s">
        <v>19</v>
      </c>
      <c r="M72" s="31" t="s">
        <v>51</v>
      </c>
      <c r="N72" s="57"/>
    </row>
    <row r="73" spans="1:14" x14ac:dyDescent="0.25">
      <c r="A73" s="58"/>
      <c r="B73" s="12"/>
      <c r="C73" s="59"/>
      <c r="D73" s="12"/>
      <c r="E73" s="18"/>
      <c r="F73" s="58"/>
      <c r="G73" s="60"/>
      <c r="H73" s="12"/>
      <c r="I73" s="12"/>
      <c r="J73" s="61" t="str">
        <f>IF(H73&lt;&gt;"",H73*I73,"")</f>
        <v/>
      </c>
      <c r="K73" s="62"/>
      <c r="L73" s="30" t="s">
        <v>19</v>
      </c>
      <c r="M73" s="31" t="s">
        <v>51</v>
      </c>
      <c r="N73" s="57"/>
    </row>
    <row r="74" spans="1:14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2.0009999999999999</v>
      </c>
      <c r="I83" s="91">
        <f>H83*10</f>
        <v>20.009999999999998</v>
      </c>
      <c r="J83" s="92">
        <f>SUM(J78:J82,J72:J76)</f>
        <v>0</v>
      </c>
      <c r="K83" s="93">
        <f>J83/I83</f>
        <v>0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46053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2</v>
      </c>
      <c r="I86" s="54">
        <f>H86*10</f>
        <v>20</v>
      </c>
      <c r="J86" s="55">
        <f>SUM(J87:J91)/I86</f>
        <v>0</v>
      </c>
      <c r="K86" s="56" t="str">
        <f>SUM(J87:J91)&amp;" "&amp;"Hrs"&amp;" "&amp;"GRUPO 1"</f>
        <v>0 Hrs GRUPO 1</v>
      </c>
      <c r="L86" s="30" t="s">
        <v>19</v>
      </c>
      <c r="M86" s="31" t="s">
        <v>52</v>
      </c>
      <c r="N86" s="57"/>
    </row>
    <row r="87" spans="1:14" x14ac:dyDescent="0.25">
      <c r="A87" s="58"/>
      <c r="B87" s="12"/>
      <c r="C87" s="59"/>
      <c r="D87" s="12"/>
      <c r="E87" s="18"/>
      <c r="F87" s="58"/>
      <c r="G87" s="60"/>
      <c r="H87" s="12"/>
      <c r="I87" s="12"/>
      <c r="J87" s="61" t="str">
        <f>IF(H87&lt;&gt;"",H87*I87,"")</f>
        <v/>
      </c>
      <c r="K87" s="62"/>
      <c r="L87" s="30" t="s">
        <v>19</v>
      </c>
      <c r="M87" s="31" t="s">
        <v>52</v>
      </c>
      <c r="N87" s="57"/>
    </row>
    <row r="88" spans="1:14" x14ac:dyDescent="0.25">
      <c r="A88" s="12"/>
      <c r="B88" s="12"/>
      <c r="C88" s="59"/>
      <c r="D88" s="12"/>
      <c r="E88" s="18"/>
      <c r="F88" s="12"/>
      <c r="G88" s="81"/>
      <c r="H88" s="12"/>
      <c r="I88" s="12"/>
      <c r="J88" s="61" t="str">
        <f>IF(H88&lt;&gt;"",H88*I88,"")</f>
        <v/>
      </c>
      <c r="K88" s="62"/>
      <c r="L88" s="30" t="s">
        <v>19</v>
      </c>
      <c r="M88" s="31" t="s">
        <v>52</v>
      </c>
      <c r="N88" s="57"/>
    </row>
    <row r="89" spans="1:14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2.0009999999999999</v>
      </c>
      <c r="I98" s="91">
        <f>H98*10</f>
        <v>20.009999999999998</v>
      </c>
      <c r="J98" s="92">
        <f>SUM(J87:J91)</f>
        <v>0</v>
      </c>
      <c r="K98" s="93">
        <f>J98/I98</f>
        <v>0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46054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2</v>
      </c>
      <c r="I101" s="54">
        <f>H101*10</f>
        <v>20</v>
      </c>
      <c r="J101" s="55">
        <f>SUM(J102:J106)/I101</f>
        <v>0</v>
      </c>
      <c r="K101" s="56" t="str">
        <f>SUM(J102:J106)&amp;" "&amp;"Hrs"&amp;" "&amp;"GRUPO 1"</f>
        <v>0 Hrs GRUPO 1</v>
      </c>
      <c r="L101" s="30" t="s">
        <v>19</v>
      </c>
      <c r="M101" s="31" t="s">
        <v>53</v>
      </c>
      <c r="N101" s="57"/>
    </row>
    <row r="102" spans="1:14" x14ac:dyDescent="0.25">
      <c r="A102" s="58"/>
      <c r="B102" s="12"/>
      <c r="C102" s="59"/>
      <c r="D102" s="12"/>
      <c r="E102" s="18"/>
      <c r="F102" s="58"/>
      <c r="G102" s="60"/>
      <c r="H102" s="12"/>
      <c r="I102" s="12"/>
      <c r="J102" s="61" t="str">
        <f>IF(H102&lt;&gt;"",H102*I102,"")</f>
        <v/>
      </c>
      <c r="K102" s="62"/>
      <c r="L102" s="30" t="s">
        <v>19</v>
      </c>
      <c r="M102" s="31" t="s">
        <v>53</v>
      </c>
      <c r="N102" s="110"/>
    </row>
    <row r="103" spans="1:14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2.0009999999999999</v>
      </c>
      <c r="I113" s="92">
        <f>H113*10</f>
        <v>20.009999999999998</v>
      </c>
      <c r="J113" s="92">
        <f>SUM(J108:J112,J102:J106)</f>
        <v>0</v>
      </c>
      <c r="K113" s="93">
        <f>J113/I113</f>
        <v>0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/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3" priority="1" stopIfTrue="1" operator="greaterThan">
      <formula>0.9</formula>
    </cfRule>
    <cfRule type="cellIs" dxfId="2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C8F5-44C3-458E-8630-1C7E51418DCB}">
  <sheetPr filterMode="1">
    <pageSetUpPr fitToPage="1"/>
  </sheetPr>
  <dimension ref="A1:N131"/>
  <sheetViews>
    <sheetView topLeftCell="A7" zoomScaleNormal="100" zoomScaleSheetLayoutView="70" workbookViewId="0">
      <selection activeCell="E20" sqref="E20"/>
    </sheetView>
  </sheetViews>
  <sheetFormatPr defaultColWidth="8.85546875" defaultRowHeight="15" x14ac:dyDescent="0.25"/>
  <cols>
    <col min="1" max="1" width="11.5703125" customWidth="1"/>
    <col min="2" max="2" width="12" customWidth="1"/>
    <col min="3" max="3" width="24" customWidth="1"/>
    <col min="4" max="4" width="11.42578125" customWidth="1"/>
    <col min="5" max="5" width="46.42578125" bestFit="1" customWidth="1"/>
    <col min="6" max="6" width="15.7109375" style="20" customWidth="1"/>
    <col min="7" max="7" width="44" bestFit="1" customWidth="1"/>
    <col min="8" max="8" width="6.5703125" customWidth="1"/>
    <col min="9" max="9" width="6.85546875" customWidth="1"/>
    <col min="10" max="10" width="10.85546875" customWidth="1"/>
    <col min="11" max="11" width="31" customWidth="1"/>
    <col min="12" max="12" width="13.7109375" customWidth="1"/>
    <col min="13" max="13" width="6" customWidth="1"/>
    <col min="14" max="14" width="3.7109375" customWidth="1"/>
    <col min="252" max="252" width="11.5703125" customWidth="1"/>
    <col min="253" max="253" width="12" customWidth="1"/>
    <col min="254" max="254" width="22.42578125" bestFit="1" customWidth="1"/>
    <col min="255" max="255" width="11.42578125" customWidth="1"/>
    <col min="256" max="256" width="46.42578125" bestFit="1" customWidth="1"/>
    <col min="257" max="257" width="15.7109375" customWidth="1"/>
    <col min="258" max="258" width="44" bestFit="1" customWidth="1"/>
    <col min="259" max="259" width="6.5703125" customWidth="1"/>
    <col min="260" max="260" width="6.85546875" customWidth="1"/>
    <col min="261" max="261" width="10.85546875" customWidth="1"/>
    <col min="262" max="262" width="38.28515625" customWidth="1"/>
    <col min="263" max="263" width="13.7109375" customWidth="1"/>
    <col min="264" max="264" width="6" customWidth="1"/>
    <col min="265" max="265" width="3.7109375" customWidth="1"/>
    <col min="266" max="266" width="38.5703125" customWidth="1"/>
    <col min="508" max="508" width="11.5703125" customWidth="1"/>
    <col min="509" max="509" width="12" customWidth="1"/>
    <col min="510" max="510" width="22.42578125" bestFit="1" customWidth="1"/>
    <col min="511" max="511" width="11.42578125" customWidth="1"/>
    <col min="512" max="512" width="46.42578125" bestFit="1" customWidth="1"/>
    <col min="513" max="513" width="15.7109375" customWidth="1"/>
    <col min="514" max="514" width="44" bestFit="1" customWidth="1"/>
    <col min="515" max="515" width="6.5703125" customWidth="1"/>
    <col min="516" max="516" width="6.85546875" customWidth="1"/>
    <col min="517" max="517" width="10.85546875" customWidth="1"/>
    <col min="518" max="518" width="38.28515625" customWidth="1"/>
    <col min="519" max="519" width="13.7109375" customWidth="1"/>
    <col min="520" max="520" width="6" customWidth="1"/>
    <col min="521" max="521" width="3.7109375" customWidth="1"/>
    <col min="522" max="522" width="38.5703125" customWidth="1"/>
    <col min="764" max="764" width="11.5703125" customWidth="1"/>
    <col min="765" max="765" width="12" customWidth="1"/>
    <col min="766" max="766" width="22.42578125" bestFit="1" customWidth="1"/>
    <col min="767" max="767" width="11.42578125" customWidth="1"/>
    <col min="768" max="768" width="46.42578125" bestFit="1" customWidth="1"/>
    <col min="769" max="769" width="15.7109375" customWidth="1"/>
    <col min="770" max="770" width="44" bestFit="1" customWidth="1"/>
    <col min="771" max="771" width="6.5703125" customWidth="1"/>
    <col min="772" max="772" width="6.85546875" customWidth="1"/>
    <col min="773" max="773" width="10.85546875" customWidth="1"/>
    <col min="774" max="774" width="38.28515625" customWidth="1"/>
    <col min="775" max="775" width="13.7109375" customWidth="1"/>
    <col min="776" max="776" width="6" customWidth="1"/>
    <col min="777" max="777" width="3.7109375" customWidth="1"/>
    <col min="778" max="778" width="38.5703125" customWidth="1"/>
    <col min="1020" max="1020" width="11.5703125" customWidth="1"/>
    <col min="1021" max="1021" width="12" customWidth="1"/>
    <col min="1022" max="1022" width="22.42578125" bestFit="1" customWidth="1"/>
    <col min="1023" max="1023" width="11.42578125" customWidth="1"/>
    <col min="1024" max="1024" width="46.42578125" bestFit="1" customWidth="1"/>
    <col min="1025" max="1025" width="15.7109375" customWidth="1"/>
    <col min="1026" max="1026" width="44" bestFit="1" customWidth="1"/>
    <col min="1027" max="1027" width="6.5703125" customWidth="1"/>
    <col min="1028" max="1028" width="6.85546875" customWidth="1"/>
    <col min="1029" max="1029" width="10.85546875" customWidth="1"/>
    <col min="1030" max="1030" width="38.28515625" customWidth="1"/>
    <col min="1031" max="1031" width="13.7109375" customWidth="1"/>
    <col min="1032" max="1032" width="6" customWidth="1"/>
    <col min="1033" max="1033" width="3.7109375" customWidth="1"/>
    <col min="1034" max="1034" width="38.5703125" customWidth="1"/>
    <col min="1276" max="1276" width="11.5703125" customWidth="1"/>
    <col min="1277" max="1277" width="12" customWidth="1"/>
    <col min="1278" max="1278" width="22.42578125" bestFit="1" customWidth="1"/>
    <col min="1279" max="1279" width="11.42578125" customWidth="1"/>
    <col min="1280" max="1280" width="46.42578125" bestFit="1" customWidth="1"/>
    <col min="1281" max="1281" width="15.7109375" customWidth="1"/>
    <col min="1282" max="1282" width="44" bestFit="1" customWidth="1"/>
    <col min="1283" max="1283" width="6.5703125" customWidth="1"/>
    <col min="1284" max="1284" width="6.85546875" customWidth="1"/>
    <col min="1285" max="1285" width="10.85546875" customWidth="1"/>
    <col min="1286" max="1286" width="38.28515625" customWidth="1"/>
    <col min="1287" max="1287" width="13.7109375" customWidth="1"/>
    <col min="1288" max="1288" width="6" customWidth="1"/>
    <col min="1289" max="1289" width="3.7109375" customWidth="1"/>
    <col min="1290" max="1290" width="38.5703125" customWidth="1"/>
    <col min="1532" max="1532" width="11.5703125" customWidth="1"/>
    <col min="1533" max="1533" width="12" customWidth="1"/>
    <col min="1534" max="1534" width="22.42578125" bestFit="1" customWidth="1"/>
    <col min="1535" max="1535" width="11.42578125" customWidth="1"/>
    <col min="1536" max="1536" width="46.42578125" bestFit="1" customWidth="1"/>
    <col min="1537" max="1537" width="15.7109375" customWidth="1"/>
    <col min="1538" max="1538" width="44" bestFit="1" customWidth="1"/>
    <col min="1539" max="1539" width="6.5703125" customWidth="1"/>
    <col min="1540" max="1540" width="6.85546875" customWidth="1"/>
    <col min="1541" max="1541" width="10.85546875" customWidth="1"/>
    <col min="1542" max="1542" width="38.28515625" customWidth="1"/>
    <col min="1543" max="1543" width="13.7109375" customWidth="1"/>
    <col min="1544" max="1544" width="6" customWidth="1"/>
    <col min="1545" max="1545" width="3.7109375" customWidth="1"/>
    <col min="1546" max="1546" width="38.5703125" customWidth="1"/>
    <col min="1788" max="1788" width="11.5703125" customWidth="1"/>
    <col min="1789" max="1789" width="12" customWidth="1"/>
    <col min="1790" max="1790" width="22.42578125" bestFit="1" customWidth="1"/>
    <col min="1791" max="1791" width="11.42578125" customWidth="1"/>
    <col min="1792" max="1792" width="46.42578125" bestFit="1" customWidth="1"/>
    <col min="1793" max="1793" width="15.7109375" customWidth="1"/>
    <col min="1794" max="1794" width="44" bestFit="1" customWidth="1"/>
    <col min="1795" max="1795" width="6.5703125" customWidth="1"/>
    <col min="1796" max="1796" width="6.85546875" customWidth="1"/>
    <col min="1797" max="1797" width="10.85546875" customWidth="1"/>
    <col min="1798" max="1798" width="38.28515625" customWidth="1"/>
    <col min="1799" max="1799" width="13.7109375" customWidth="1"/>
    <col min="1800" max="1800" width="6" customWidth="1"/>
    <col min="1801" max="1801" width="3.7109375" customWidth="1"/>
    <col min="1802" max="1802" width="38.5703125" customWidth="1"/>
    <col min="2044" max="2044" width="11.5703125" customWidth="1"/>
    <col min="2045" max="2045" width="12" customWidth="1"/>
    <col min="2046" max="2046" width="22.42578125" bestFit="1" customWidth="1"/>
    <col min="2047" max="2047" width="11.42578125" customWidth="1"/>
    <col min="2048" max="2048" width="46.42578125" bestFit="1" customWidth="1"/>
    <col min="2049" max="2049" width="15.7109375" customWidth="1"/>
    <col min="2050" max="2050" width="44" bestFit="1" customWidth="1"/>
    <col min="2051" max="2051" width="6.5703125" customWidth="1"/>
    <col min="2052" max="2052" width="6.85546875" customWidth="1"/>
    <col min="2053" max="2053" width="10.85546875" customWidth="1"/>
    <col min="2054" max="2054" width="38.28515625" customWidth="1"/>
    <col min="2055" max="2055" width="13.7109375" customWidth="1"/>
    <col min="2056" max="2056" width="6" customWidth="1"/>
    <col min="2057" max="2057" width="3.7109375" customWidth="1"/>
    <col min="2058" max="2058" width="38.5703125" customWidth="1"/>
    <col min="2300" max="2300" width="11.5703125" customWidth="1"/>
    <col min="2301" max="2301" width="12" customWidth="1"/>
    <col min="2302" max="2302" width="22.42578125" bestFit="1" customWidth="1"/>
    <col min="2303" max="2303" width="11.42578125" customWidth="1"/>
    <col min="2304" max="2304" width="46.42578125" bestFit="1" customWidth="1"/>
    <col min="2305" max="2305" width="15.7109375" customWidth="1"/>
    <col min="2306" max="2306" width="44" bestFit="1" customWidth="1"/>
    <col min="2307" max="2307" width="6.5703125" customWidth="1"/>
    <col min="2308" max="2308" width="6.85546875" customWidth="1"/>
    <col min="2309" max="2309" width="10.85546875" customWidth="1"/>
    <col min="2310" max="2310" width="38.28515625" customWidth="1"/>
    <col min="2311" max="2311" width="13.7109375" customWidth="1"/>
    <col min="2312" max="2312" width="6" customWidth="1"/>
    <col min="2313" max="2313" width="3.7109375" customWidth="1"/>
    <col min="2314" max="2314" width="38.5703125" customWidth="1"/>
    <col min="2556" max="2556" width="11.5703125" customWidth="1"/>
    <col min="2557" max="2557" width="12" customWidth="1"/>
    <col min="2558" max="2558" width="22.42578125" bestFit="1" customWidth="1"/>
    <col min="2559" max="2559" width="11.42578125" customWidth="1"/>
    <col min="2560" max="2560" width="46.42578125" bestFit="1" customWidth="1"/>
    <col min="2561" max="2561" width="15.7109375" customWidth="1"/>
    <col min="2562" max="2562" width="44" bestFit="1" customWidth="1"/>
    <col min="2563" max="2563" width="6.5703125" customWidth="1"/>
    <col min="2564" max="2564" width="6.85546875" customWidth="1"/>
    <col min="2565" max="2565" width="10.85546875" customWidth="1"/>
    <col min="2566" max="2566" width="38.28515625" customWidth="1"/>
    <col min="2567" max="2567" width="13.7109375" customWidth="1"/>
    <col min="2568" max="2568" width="6" customWidth="1"/>
    <col min="2569" max="2569" width="3.7109375" customWidth="1"/>
    <col min="2570" max="2570" width="38.5703125" customWidth="1"/>
    <col min="2812" max="2812" width="11.5703125" customWidth="1"/>
    <col min="2813" max="2813" width="12" customWidth="1"/>
    <col min="2814" max="2814" width="22.42578125" bestFit="1" customWidth="1"/>
    <col min="2815" max="2815" width="11.42578125" customWidth="1"/>
    <col min="2816" max="2816" width="46.42578125" bestFit="1" customWidth="1"/>
    <col min="2817" max="2817" width="15.7109375" customWidth="1"/>
    <col min="2818" max="2818" width="44" bestFit="1" customWidth="1"/>
    <col min="2819" max="2819" width="6.5703125" customWidth="1"/>
    <col min="2820" max="2820" width="6.85546875" customWidth="1"/>
    <col min="2821" max="2821" width="10.85546875" customWidth="1"/>
    <col min="2822" max="2822" width="38.28515625" customWidth="1"/>
    <col min="2823" max="2823" width="13.7109375" customWidth="1"/>
    <col min="2824" max="2824" width="6" customWidth="1"/>
    <col min="2825" max="2825" width="3.7109375" customWidth="1"/>
    <col min="2826" max="2826" width="38.5703125" customWidth="1"/>
    <col min="3068" max="3068" width="11.5703125" customWidth="1"/>
    <col min="3069" max="3069" width="12" customWidth="1"/>
    <col min="3070" max="3070" width="22.42578125" bestFit="1" customWidth="1"/>
    <col min="3071" max="3071" width="11.42578125" customWidth="1"/>
    <col min="3072" max="3072" width="46.42578125" bestFit="1" customWidth="1"/>
    <col min="3073" max="3073" width="15.7109375" customWidth="1"/>
    <col min="3074" max="3074" width="44" bestFit="1" customWidth="1"/>
    <col min="3075" max="3075" width="6.5703125" customWidth="1"/>
    <col min="3076" max="3076" width="6.85546875" customWidth="1"/>
    <col min="3077" max="3077" width="10.85546875" customWidth="1"/>
    <col min="3078" max="3078" width="38.28515625" customWidth="1"/>
    <col min="3079" max="3079" width="13.7109375" customWidth="1"/>
    <col min="3080" max="3080" width="6" customWidth="1"/>
    <col min="3081" max="3081" width="3.7109375" customWidth="1"/>
    <col min="3082" max="3082" width="38.5703125" customWidth="1"/>
    <col min="3324" max="3324" width="11.5703125" customWidth="1"/>
    <col min="3325" max="3325" width="12" customWidth="1"/>
    <col min="3326" max="3326" width="22.42578125" bestFit="1" customWidth="1"/>
    <col min="3327" max="3327" width="11.42578125" customWidth="1"/>
    <col min="3328" max="3328" width="46.42578125" bestFit="1" customWidth="1"/>
    <col min="3329" max="3329" width="15.7109375" customWidth="1"/>
    <col min="3330" max="3330" width="44" bestFit="1" customWidth="1"/>
    <col min="3331" max="3331" width="6.5703125" customWidth="1"/>
    <col min="3332" max="3332" width="6.85546875" customWidth="1"/>
    <col min="3333" max="3333" width="10.85546875" customWidth="1"/>
    <col min="3334" max="3334" width="38.28515625" customWidth="1"/>
    <col min="3335" max="3335" width="13.7109375" customWidth="1"/>
    <col min="3336" max="3336" width="6" customWidth="1"/>
    <col min="3337" max="3337" width="3.7109375" customWidth="1"/>
    <col min="3338" max="3338" width="38.5703125" customWidth="1"/>
    <col min="3580" max="3580" width="11.5703125" customWidth="1"/>
    <col min="3581" max="3581" width="12" customWidth="1"/>
    <col min="3582" max="3582" width="22.42578125" bestFit="1" customWidth="1"/>
    <col min="3583" max="3583" width="11.42578125" customWidth="1"/>
    <col min="3584" max="3584" width="46.42578125" bestFit="1" customWidth="1"/>
    <col min="3585" max="3585" width="15.7109375" customWidth="1"/>
    <col min="3586" max="3586" width="44" bestFit="1" customWidth="1"/>
    <col min="3587" max="3587" width="6.5703125" customWidth="1"/>
    <col min="3588" max="3588" width="6.85546875" customWidth="1"/>
    <col min="3589" max="3589" width="10.85546875" customWidth="1"/>
    <col min="3590" max="3590" width="38.28515625" customWidth="1"/>
    <col min="3591" max="3591" width="13.7109375" customWidth="1"/>
    <col min="3592" max="3592" width="6" customWidth="1"/>
    <col min="3593" max="3593" width="3.7109375" customWidth="1"/>
    <col min="3594" max="3594" width="38.5703125" customWidth="1"/>
    <col min="3836" max="3836" width="11.5703125" customWidth="1"/>
    <col min="3837" max="3837" width="12" customWidth="1"/>
    <col min="3838" max="3838" width="22.42578125" bestFit="1" customWidth="1"/>
    <col min="3839" max="3839" width="11.42578125" customWidth="1"/>
    <col min="3840" max="3840" width="46.42578125" bestFit="1" customWidth="1"/>
    <col min="3841" max="3841" width="15.7109375" customWidth="1"/>
    <col min="3842" max="3842" width="44" bestFit="1" customWidth="1"/>
    <col min="3843" max="3843" width="6.5703125" customWidth="1"/>
    <col min="3844" max="3844" width="6.85546875" customWidth="1"/>
    <col min="3845" max="3845" width="10.85546875" customWidth="1"/>
    <col min="3846" max="3846" width="38.28515625" customWidth="1"/>
    <col min="3847" max="3847" width="13.7109375" customWidth="1"/>
    <col min="3848" max="3848" width="6" customWidth="1"/>
    <col min="3849" max="3849" width="3.7109375" customWidth="1"/>
    <col min="3850" max="3850" width="38.5703125" customWidth="1"/>
    <col min="4092" max="4092" width="11.5703125" customWidth="1"/>
    <col min="4093" max="4093" width="12" customWidth="1"/>
    <col min="4094" max="4094" width="22.42578125" bestFit="1" customWidth="1"/>
    <col min="4095" max="4095" width="11.42578125" customWidth="1"/>
    <col min="4096" max="4096" width="46.42578125" bestFit="1" customWidth="1"/>
    <col min="4097" max="4097" width="15.7109375" customWidth="1"/>
    <col min="4098" max="4098" width="44" bestFit="1" customWidth="1"/>
    <col min="4099" max="4099" width="6.5703125" customWidth="1"/>
    <col min="4100" max="4100" width="6.85546875" customWidth="1"/>
    <col min="4101" max="4101" width="10.85546875" customWidth="1"/>
    <col min="4102" max="4102" width="38.28515625" customWidth="1"/>
    <col min="4103" max="4103" width="13.7109375" customWidth="1"/>
    <col min="4104" max="4104" width="6" customWidth="1"/>
    <col min="4105" max="4105" width="3.7109375" customWidth="1"/>
    <col min="4106" max="4106" width="38.5703125" customWidth="1"/>
    <col min="4348" max="4348" width="11.5703125" customWidth="1"/>
    <col min="4349" max="4349" width="12" customWidth="1"/>
    <col min="4350" max="4350" width="22.42578125" bestFit="1" customWidth="1"/>
    <col min="4351" max="4351" width="11.42578125" customWidth="1"/>
    <col min="4352" max="4352" width="46.42578125" bestFit="1" customWidth="1"/>
    <col min="4353" max="4353" width="15.7109375" customWidth="1"/>
    <col min="4354" max="4354" width="44" bestFit="1" customWidth="1"/>
    <col min="4355" max="4355" width="6.5703125" customWidth="1"/>
    <col min="4356" max="4356" width="6.85546875" customWidth="1"/>
    <col min="4357" max="4357" width="10.85546875" customWidth="1"/>
    <col min="4358" max="4358" width="38.28515625" customWidth="1"/>
    <col min="4359" max="4359" width="13.7109375" customWidth="1"/>
    <col min="4360" max="4360" width="6" customWidth="1"/>
    <col min="4361" max="4361" width="3.7109375" customWidth="1"/>
    <col min="4362" max="4362" width="38.5703125" customWidth="1"/>
    <col min="4604" max="4604" width="11.5703125" customWidth="1"/>
    <col min="4605" max="4605" width="12" customWidth="1"/>
    <col min="4606" max="4606" width="22.42578125" bestFit="1" customWidth="1"/>
    <col min="4607" max="4607" width="11.42578125" customWidth="1"/>
    <col min="4608" max="4608" width="46.42578125" bestFit="1" customWidth="1"/>
    <col min="4609" max="4609" width="15.7109375" customWidth="1"/>
    <col min="4610" max="4610" width="44" bestFit="1" customWidth="1"/>
    <col min="4611" max="4611" width="6.5703125" customWidth="1"/>
    <col min="4612" max="4612" width="6.85546875" customWidth="1"/>
    <col min="4613" max="4613" width="10.85546875" customWidth="1"/>
    <col min="4614" max="4614" width="38.28515625" customWidth="1"/>
    <col min="4615" max="4615" width="13.7109375" customWidth="1"/>
    <col min="4616" max="4616" width="6" customWidth="1"/>
    <col min="4617" max="4617" width="3.7109375" customWidth="1"/>
    <col min="4618" max="4618" width="38.5703125" customWidth="1"/>
    <col min="4860" max="4860" width="11.5703125" customWidth="1"/>
    <col min="4861" max="4861" width="12" customWidth="1"/>
    <col min="4862" max="4862" width="22.42578125" bestFit="1" customWidth="1"/>
    <col min="4863" max="4863" width="11.42578125" customWidth="1"/>
    <col min="4864" max="4864" width="46.42578125" bestFit="1" customWidth="1"/>
    <col min="4865" max="4865" width="15.7109375" customWidth="1"/>
    <col min="4866" max="4866" width="44" bestFit="1" customWidth="1"/>
    <col min="4867" max="4867" width="6.5703125" customWidth="1"/>
    <col min="4868" max="4868" width="6.85546875" customWidth="1"/>
    <col min="4869" max="4869" width="10.85546875" customWidth="1"/>
    <col min="4870" max="4870" width="38.28515625" customWidth="1"/>
    <col min="4871" max="4871" width="13.7109375" customWidth="1"/>
    <col min="4872" max="4872" width="6" customWidth="1"/>
    <col min="4873" max="4873" width="3.7109375" customWidth="1"/>
    <col min="4874" max="4874" width="38.5703125" customWidth="1"/>
    <col min="5116" max="5116" width="11.5703125" customWidth="1"/>
    <col min="5117" max="5117" width="12" customWidth="1"/>
    <col min="5118" max="5118" width="22.42578125" bestFit="1" customWidth="1"/>
    <col min="5119" max="5119" width="11.42578125" customWidth="1"/>
    <col min="5120" max="5120" width="46.42578125" bestFit="1" customWidth="1"/>
    <col min="5121" max="5121" width="15.7109375" customWidth="1"/>
    <col min="5122" max="5122" width="44" bestFit="1" customWidth="1"/>
    <col min="5123" max="5123" width="6.5703125" customWidth="1"/>
    <col min="5124" max="5124" width="6.85546875" customWidth="1"/>
    <col min="5125" max="5125" width="10.85546875" customWidth="1"/>
    <col min="5126" max="5126" width="38.28515625" customWidth="1"/>
    <col min="5127" max="5127" width="13.7109375" customWidth="1"/>
    <col min="5128" max="5128" width="6" customWidth="1"/>
    <col min="5129" max="5129" width="3.7109375" customWidth="1"/>
    <col min="5130" max="5130" width="38.5703125" customWidth="1"/>
    <col min="5372" max="5372" width="11.5703125" customWidth="1"/>
    <col min="5373" max="5373" width="12" customWidth="1"/>
    <col min="5374" max="5374" width="22.42578125" bestFit="1" customWidth="1"/>
    <col min="5375" max="5375" width="11.42578125" customWidth="1"/>
    <col min="5376" max="5376" width="46.42578125" bestFit="1" customWidth="1"/>
    <col min="5377" max="5377" width="15.7109375" customWidth="1"/>
    <col min="5378" max="5378" width="44" bestFit="1" customWidth="1"/>
    <col min="5379" max="5379" width="6.5703125" customWidth="1"/>
    <col min="5380" max="5380" width="6.85546875" customWidth="1"/>
    <col min="5381" max="5381" width="10.85546875" customWidth="1"/>
    <col min="5382" max="5382" width="38.28515625" customWidth="1"/>
    <col min="5383" max="5383" width="13.7109375" customWidth="1"/>
    <col min="5384" max="5384" width="6" customWidth="1"/>
    <col min="5385" max="5385" width="3.7109375" customWidth="1"/>
    <col min="5386" max="5386" width="38.5703125" customWidth="1"/>
    <col min="5628" max="5628" width="11.5703125" customWidth="1"/>
    <col min="5629" max="5629" width="12" customWidth="1"/>
    <col min="5630" max="5630" width="22.42578125" bestFit="1" customWidth="1"/>
    <col min="5631" max="5631" width="11.42578125" customWidth="1"/>
    <col min="5632" max="5632" width="46.42578125" bestFit="1" customWidth="1"/>
    <col min="5633" max="5633" width="15.7109375" customWidth="1"/>
    <col min="5634" max="5634" width="44" bestFit="1" customWidth="1"/>
    <col min="5635" max="5635" width="6.5703125" customWidth="1"/>
    <col min="5636" max="5636" width="6.85546875" customWidth="1"/>
    <col min="5637" max="5637" width="10.85546875" customWidth="1"/>
    <col min="5638" max="5638" width="38.28515625" customWidth="1"/>
    <col min="5639" max="5639" width="13.7109375" customWidth="1"/>
    <col min="5640" max="5640" width="6" customWidth="1"/>
    <col min="5641" max="5641" width="3.7109375" customWidth="1"/>
    <col min="5642" max="5642" width="38.5703125" customWidth="1"/>
    <col min="5884" max="5884" width="11.5703125" customWidth="1"/>
    <col min="5885" max="5885" width="12" customWidth="1"/>
    <col min="5886" max="5886" width="22.42578125" bestFit="1" customWidth="1"/>
    <col min="5887" max="5887" width="11.42578125" customWidth="1"/>
    <col min="5888" max="5888" width="46.42578125" bestFit="1" customWidth="1"/>
    <col min="5889" max="5889" width="15.7109375" customWidth="1"/>
    <col min="5890" max="5890" width="44" bestFit="1" customWidth="1"/>
    <col min="5891" max="5891" width="6.5703125" customWidth="1"/>
    <col min="5892" max="5892" width="6.85546875" customWidth="1"/>
    <col min="5893" max="5893" width="10.85546875" customWidth="1"/>
    <col min="5894" max="5894" width="38.28515625" customWidth="1"/>
    <col min="5895" max="5895" width="13.7109375" customWidth="1"/>
    <col min="5896" max="5896" width="6" customWidth="1"/>
    <col min="5897" max="5897" width="3.7109375" customWidth="1"/>
    <col min="5898" max="5898" width="38.5703125" customWidth="1"/>
    <col min="6140" max="6140" width="11.5703125" customWidth="1"/>
    <col min="6141" max="6141" width="12" customWidth="1"/>
    <col min="6142" max="6142" width="22.42578125" bestFit="1" customWidth="1"/>
    <col min="6143" max="6143" width="11.42578125" customWidth="1"/>
    <col min="6144" max="6144" width="46.42578125" bestFit="1" customWidth="1"/>
    <col min="6145" max="6145" width="15.7109375" customWidth="1"/>
    <col min="6146" max="6146" width="44" bestFit="1" customWidth="1"/>
    <col min="6147" max="6147" width="6.5703125" customWidth="1"/>
    <col min="6148" max="6148" width="6.85546875" customWidth="1"/>
    <col min="6149" max="6149" width="10.85546875" customWidth="1"/>
    <col min="6150" max="6150" width="38.28515625" customWidth="1"/>
    <col min="6151" max="6151" width="13.7109375" customWidth="1"/>
    <col min="6152" max="6152" width="6" customWidth="1"/>
    <col min="6153" max="6153" width="3.7109375" customWidth="1"/>
    <col min="6154" max="6154" width="38.5703125" customWidth="1"/>
    <col min="6396" max="6396" width="11.5703125" customWidth="1"/>
    <col min="6397" max="6397" width="12" customWidth="1"/>
    <col min="6398" max="6398" width="22.42578125" bestFit="1" customWidth="1"/>
    <col min="6399" max="6399" width="11.42578125" customWidth="1"/>
    <col min="6400" max="6400" width="46.42578125" bestFit="1" customWidth="1"/>
    <col min="6401" max="6401" width="15.7109375" customWidth="1"/>
    <col min="6402" max="6402" width="44" bestFit="1" customWidth="1"/>
    <col min="6403" max="6403" width="6.5703125" customWidth="1"/>
    <col min="6404" max="6404" width="6.85546875" customWidth="1"/>
    <col min="6405" max="6405" width="10.85546875" customWidth="1"/>
    <col min="6406" max="6406" width="38.28515625" customWidth="1"/>
    <col min="6407" max="6407" width="13.7109375" customWidth="1"/>
    <col min="6408" max="6408" width="6" customWidth="1"/>
    <col min="6409" max="6409" width="3.7109375" customWidth="1"/>
    <col min="6410" max="6410" width="38.5703125" customWidth="1"/>
    <col min="6652" max="6652" width="11.5703125" customWidth="1"/>
    <col min="6653" max="6653" width="12" customWidth="1"/>
    <col min="6654" max="6654" width="22.42578125" bestFit="1" customWidth="1"/>
    <col min="6655" max="6655" width="11.42578125" customWidth="1"/>
    <col min="6656" max="6656" width="46.42578125" bestFit="1" customWidth="1"/>
    <col min="6657" max="6657" width="15.7109375" customWidth="1"/>
    <col min="6658" max="6658" width="44" bestFit="1" customWidth="1"/>
    <col min="6659" max="6659" width="6.5703125" customWidth="1"/>
    <col min="6660" max="6660" width="6.85546875" customWidth="1"/>
    <col min="6661" max="6661" width="10.85546875" customWidth="1"/>
    <col min="6662" max="6662" width="38.28515625" customWidth="1"/>
    <col min="6663" max="6663" width="13.7109375" customWidth="1"/>
    <col min="6664" max="6664" width="6" customWidth="1"/>
    <col min="6665" max="6665" width="3.7109375" customWidth="1"/>
    <col min="6666" max="6666" width="38.5703125" customWidth="1"/>
    <col min="6908" max="6908" width="11.5703125" customWidth="1"/>
    <col min="6909" max="6909" width="12" customWidth="1"/>
    <col min="6910" max="6910" width="22.42578125" bestFit="1" customWidth="1"/>
    <col min="6911" max="6911" width="11.42578125" customWidth="1"/>
    <col min="6912" max="6912" width="46.42578125" bestFit="1" customWidth="1"/>
    <col min="6913" max="6913" width="15.7109375" customWidth="1"/>
    <col min="6914" max="6914" width="44" bestFit="1" customWidth="1"/>
    <col min="6915" max="6915" width="6.5703125" customWidth="1"/>
    <col min="6916" max="6916" width="6.85546875" customWidth="1"/>
    <col min="6917" max="6917" width="10.85546875" customWidth="1"/>
    <col min="6918" max="6918" width="38.28515625" customWidth="1"/>
    <col min="6919" max="6919" width="13.7109375" customWidth="1"/>
    <col min="6920" max="6920" width="6" customWidth="1"/>
    <col min="6921" max="6921" width="3.7109375" customWidth="1"/>
    <col min="6922" max="6922" width="38.5703125" customWidth="1"/>
    <col min="7164" max="7164" width="11.5703125" customWidth="1"/>
    <col min="7165" max="7165" width="12" customWidth="1"/>
    <col min="7166" max="7166" width="22.42578125" bestFit="1" customWidth="1"/>
    <col min="7167" max="7167" width="11.42578125" customWidth="1"/>
    <col min="7168" max="7168" width="46.42578125" bestFit="1" customWidth="1"/>
    <col min="7169" max="7169" width="15.7109375" customWidth="1"/>
    <col min="7170" max="7170" width="44" bestFit="1" customWidth="1"/>
    <col min="7171" max="7171" width="6.5703125" customWidth="1"/>
    <col min="7172" max="7172" width="6.85546875" customWidth="1"/>
    <col min="7173" max="7173" width="10.85546875" customWidth="1"/>
    <col min="7174" max="7174" width="38.28515625" customWidth="1"/>
    <col min="7175" max="7175" width="13.7109375" customWidth="1"/>
    <col min="7176" max="7176" width="6" customWidth="1"/>
    <col min="7177" max="7177" width="3.7109375" customWidth="1"/>
    <col min="7178" max="7178" width="38.5703125" customWidth="1"/>
    <col min="7420" max="7420" width="11.5703125" customWidth="1"/>
    <col min="7421" max="7421" width="12" customWidth="1"/>
    <col min="7422" max="7422" width="22.42578125" bestFit="1" customWidth="1"/>
    <col min="7423" max="7423" width="11.42578125" customWidth="1"/>
    <col min="7424" max="7424" width="46.42578125" bestFit="1" customWidth="1"/>
    <col min="7425" max="7425" width="15.7109375" customWidth="1"/>
    <col min="7426" max="7426" width="44" bestFit="1" customWidth="1"/>
    <col min="7427" max="7427" width="6.5703125" customWidth="1"/>
    <col min="7428" max="7428" width="6.85546875" customWidth="1"/>
    <col min="7429" max="7429" width="10.85546875" customWidth="1"/>
    <col min="7430" max="7430" width="38.28515625" customWidth="1"/>
    <col min="7431" max="7431" width="13.7109375" customWidth="1"/>
    <col min="7432" max="7432" width="6" customWidth="1"/>
    <col min="7433" max="7433" width="3.7109375" customWidth="1"/>
    <col min="7434" max="7434" width="38.5703125" customWidth="1"/>
    <col min="7676" max="7676" width="11.5703125" customWidth="1"/>
    <col min="7677" max="7677" width="12" customWidth="1"/>
    <col min="7678" max="7678" width="22.42578125" bestFit="1" customWidth="1"/>
    <col min="7679" max="7679" width="11.42578125" customWidth="1"/>
    <col min="7680" max="7680" width="46.42578125" bestFit="1" customWidth="1"/>
    <col min="7681" max="7681" width="15.7109375" customWidth="1"/>
    <col min="7682" max="7682" width="44" bestFit="1" customWidth="1"/>
    <col min="7683" max="7683" width="6.5703125" customWidth="1"/>
    <col min="7684" max="7684" width="6.85546875" customWidth="1"/>
    <col min="7685" max="7685" width="10.85546875" customWidth="1"/>
    <col min="7686" max="7686" width="38.28515625" customWidth="1"/>
    <col min="7687" max="7687" width="13.7109375" customWidth="1"/>
    <col min="7688" max="7688" width="6" customWidth="1"/>
    <col min="7689" max="7689" width="3.7109375" customWidth="1"/>
    <col min="7690" max="7690" width="38.5703125" customWidth="1"/>
    <col min="7932" max="7932" width="11.5703125" customWidth="1"/>
    <col min="7933" max="7933" width="12" customWidth="1"/>
    <col min="7934" max="7934" width="22.42578125" bestFit="1" customWidth="1"/>
    <col min="7935" max="7935" width="11.42578125" customWidth="1"/>
    <col min="7936" max="7936" width="46.42578125" bestFit="1" customWidth="1"/>
    <col min="7937" max="7937" width="15.7109375" customWidth="1"/>
    <col min="7938" max="7938" width="44" bestFit="1" customWidth="1"/>
    <col min="7939" max="7939" width="6.5703125" customWidth="1"/>
    <col min="7940" max="7940" width="6.85546875" customWidth="1"/>
    <col min="7941" max="7941" width="10.85546875" customWidth="1"/>
    <col min="7942" max="7942" width="38.28515625" customWidth="1"/>
    <col min="7943" max="7943" width="13.7109375" customWidth="1"/>
    <col min="7944" max="7944" width="6" customWidth="1"/>
    <col min="7945" max="7945" width="3.7109375" customWidth="1"/>
    <col min="7946" max="7946" width="38.5703125" customWidth="1"/>
    <col min="8188" max="8188" width="11.5703125" customWidth="1"/>
    <col min="8189" max="8189" width="12" customWidth="1"/>
    <col min="8190" max="8190" width="22.42578125" bestFit="1" customWidth="1"/>
    <col min="8191" max="8191" width="11.42578125" customWidth="1"/>
    <col min="8192" max="8192" width="46.42578125" bestFit="1" customWidth="1"/>
    <col min="8193" max="8193" width="15.7109375" customWidth="1"/>
    <col min="8194" max="8194" width="44" bestFit="1" customWidth="1"/>
    <col min="8195" max="8195" width="6.5703125" customWidth="1"/>
    <col min="8196" max="8196" width="6.85546875" customWidth="1"/>
    <col min="8197" max="8197" width="10.85546875" customWidth="1"/>
    <col min="8198" max="8198" width="38.28515625" customWidth="1"/>
    <col min="8199" max="8199" width="13.7109375" customWidth="1"/>
    <col min="8200" max="8200" width="6" customWidth="1"/>
    <col min="8201" max="8201" width="3.7109375" customWidth="1"/>
    <col min="8202" max="8202" width="38.5703125" customWidth="1"/>
    <col min="8444" max="8444" width="11.5703125" customWidth="1"/>
    <col min="8445" max="8445" width="12" customWidth="1"/>
    <col min="8446" max="8446" width="22.42578125" bestFit="1" customWidth="1"/>
    <col min="8447" max="8447" width="11.42578125" customWidth="1"/>
    <col min="8448" max="8448" width="46.42578125" bestFit="1" customWidth="1"/>
    <col min="8449" max="8449" width="15.7109375" customWidth="1"/>
    <col min="8450" max="8450" width="44" bestFit="1" customWidth="1"/>
    <col min="8451" max="8451" width="6.5703125" customWidth="1"/>
    <col min="8452" max="8452" width="6.85546875" customWidth="1"/>
    <col min="8453" max="8453" width="10.85546875" customWidth="1"/>
    <col min="8454" max="8454" width="38.28515625" customWidth="1"/>
    <col min="8455" max="8455" width="13.7109375" customWidth="1"/>
    <col min="8456" max="8456" width="6" customWidth="1"/>
    <col min="8457" max="8457" width="3.7109375" customWidth="1"/>
    <col min="8458" max="8458" width="38.5703125" customWidth="1"/>
    <col min="8700" max="8700" width="11.5703125" customWidth="1"/>
    <col min="8701" max="8701" width="12" customWidth="1"/>
    <col min="8702" max="8702" width="22.42578125" bestFit="1" customWidth="1"/>
    <col min="8703" max="8703" width="11.42578125" customWidth="1"/>
    <col min="8704" max="8704" width="46.42578125" bestFit="1" customWidth="1"/>
    <col min="8705" max="8705" width="15.7109375" customWidth="1"/>
    <col min="8706" max="8706" width="44" bestFit="1" customWidth="1"/>
    <col min="8707" max="8707" width="6.5703125" customWidth="1"/>
    <col min="8708" max="8708" width="6.85546875" customWidth="1"/>
    <col min="8709" max="8709" width="10.85546875" customWidth="1"/>
    <col min="8710" max="8710" width="38.28515625" customWidth="1"/>
    <col min="8711" max="8711" width="13.7109375" customWidth="1"/>
    <col min="8712" max="8712" width="6" customWidth="1"/>
    <col min="8713" max="8713" width="3.7109375" customWidth="1"/>
    <col min="8714" max="8714" width="38.5703125" customWidth="1"/>
    <col min="8956" max="8956" width="11.5703125" customWidth="1"/>
    <col min="8957" max="8957" width="12" customWidth="1"/>
    <col min="8958" max="8958" width="22.42578125" bestFit="1" customWidth="1"/>
    <col min="8959" max="8959" width="11.42578125" customWidth="1"/>
    <col min="8960" max="8960" width="46.42578125" bestFit="1" customWidth="1"/>
    <col min="8961" max="8961" width="15.7109375" customWidth="1"/>
    <col min="8962" max="8962" width="44" bestFit="1" customWidth="1"/>
    <col min="8963" max="8963" width="6.5703125" customWidth="1"/>
    <col min="8964" max="8964" width="6.85546875" customWidth="1"/>
    <col min="8965" max="8965" width="10.85546875" customWidth="1"/>
    <col min="8966" max="8966" width="38.28515625" customWidth="1"/>
    <col min="8967" max="8967" width="13.7109375" customWidth="1"/>
    <col min="8968" max="8968" width="6" customWidth="1"/>
    <col min="8969" max="8969" width="3.7109375" customWidth="1"/>
    <col min="8970" max="8970" width="38.5703125" customWidth="1"/>
    <col min="9212" max="9212" width="11.5703125" customWidth="1"/>
    <col min="9213" max="9213" width="12" customWidth="1"/>
    <col min="9214" max="9214" width="22.42578125" bestFit="1" customWidth="1"/>
    <col min="9215" max="9215" width="11.42578125" customWidth="1"/>
    <col min="9216" max="9216" width="46.42578125" bestFit="1" customWidth="1"/>
    <col min="9217" max="9217" width="15.7109375" customWidth="1"/>
    <col min="9218" max="9218" width="44" bestFit="1" customWidth="1"/>
    <col min="9219" max="9219" width="6.5703125" customWidth="1"/>
    <col min="9220" max="9220" width="6.85546875" customWidth="1"/>
    <col min="9221" max="9221" width="10.85546875" customWidth="1"/>
    <col min="9222" max="9222" width="38.28515625" customWidth="1"/>
    <col min="9223" max="9223" width="13.7109375" customWidth="1"/>
    <col min="9224" max="9224" width="6" customWidth="1"/>
    <col min="9225" max="9225" width="3.7109375" customWidth="1"/>
    <col min="9226" max="9226" width="38.5703125" customWidth="1"/>
    <col min="9468" max="9468" width="11.5703125" customWidth="1"/>
    <col min="9469" max="9469" width="12" customWidth="1"/>
    <col min="9470" max="9470" width="22.42578125" bestFit="1" customWidth="1"/>
    <col min="9471" max="9471" width="11.42578125" customWidth="1"/>
    <col min="9472" max="9472" width="46.42578125" bestFit="1" customWidth="1"/>
    <col min="9473" max="9473" width="15.7109375" customWidth="1"/>
    <col min="9474" max="9474" width="44" bestFit="1" customWidth="1"/>
    <col min="9475" max="9475" width="6.5703125" customWidth="1"/>
    <col min="9476" max="9476" width="6.85546875" customWidth="1"/>
    <col min="9477" max="9477" width="10.85546875" customWidth="1"/>
    <col min="9478" max="9478" width="38.28515625" customWidth="1"/>
    <col min="9479" max="9479" width="13.7109375" customWidth="1"/>
    <col min="9480" max="9480" width="6" customWidth="1"/>
    <col min="9481" max="9481" width="3.7109375" customWidth="1"/>
    <col min="9482" max="9482" width="38.5703125" customWidth="1"/>
    <col min="9724" max="9724" width="11.5703125" customWidth="1"/>
    <col min="9725" max="9725" width="12" customWidth="1"/>
    <col min="9726" max="9726" width="22.42578125" bestFit="1" customWidth="1"/>
    <col min="9727" max="9727" width="11.42578125" customWidth="1"/>
    <col min="9728" max="9728" width="46.42578125" bestFit="1" customWidth="1"/>
    <col min="9729" max="9729" width="15.7109375" customWidth="1"/>
    <col min="9730" max="9730" width="44" bestFit="1" customWidth="1"/>
    <col min="9731" max="9731" width="6.5703125" customWidth="1"/>
    <col min="9732" max="9732" width="6.85546875" customWidth="1"/>
    <col min="9733" max="9733" width="10.85546875" customWidth="1"/>
    <col min="9734" max="9734" width="38.28515625" customWidth="1"/>
    <col min="9735" max="9735" width="13.7109375" customWidth="1"/>
    <col min="9736" max="9736" width="6" customWidth="1"/>
    <col min="9737" max="9737" width="3.7109375" customWidth="1"/>
    <col min="9738" max="9738" width="38.5703125" customWidth="1"/>
    <col min="9980" max="9980" width="11.5703125" customWidth="1"/>
    <col min="9981" max="9981" width="12" customWidth="1"/>
    <col min="9982" max="9982" width="22.42578125" bestFit="1" customWidth="1"/>
    <col min="9983" max="9983" width="11.42578125" customWidth="1"/>
    <col min="9984" max="9984" width="46.42578125" bestFit="1" customWidth="1"/>
    <col min="9985" max="9985" width="15.7109375" customWidth="1"/>
    <col min="9986" max="9986" width="44" bestFit="1" customWidth="1"/>
    <col min="9987" max="9987" width="6.5703125" customWidth="1"/>
    <col min="9988" max="9988" width="6.85546875" customWidth="1"/>
    <col min="9989" max="9989" width="10.85546875" customWidth="1"/>
    <col min="9990" max="9990" width="38.28515625" customWidth="1"/>
    <col min="9991" max="9991" width="13.7109375" customWidth="1"/>
    <col min="9992" max="9992" width="6" customWidth="1"/>
    <col min="9993" max="9993" width="3.7109375" customWidth="1"/>
    <col min="9994" max="9994" width="38.5703125" customWidth="1"/>
    <col min="10236" max="10236" width="11.5703125" customWidth="1"/>
    <col min="10237" max="10237" width="12" customWidth="1"/>
    <col min="10238" max="10238" width="22.42578125" bestFit="1" customWidth="1"/>
    <col min="10239" max="10239" width="11.42578125" customWidth="1"/>
    <col min="10240" max="10240" width="46.42578125" bestFit="1" customWidth="1"/>
    <col min="10241" max="10241" width="15.7109375" customWidth="1"/>
    <col min="10242" max="10242" width="44" bestFit="1" customWidth="1"/>
    <col min="10243" max="10243" width="6.5703125" customWidth="1"/>
    <col min="10244" max="10244" width="6.85546875" customWidth="1"/>
    <col min="10245" max="10245" width="10.85546875" customWidth="1"/>
    <col min="10246" max="10246" width="38.28515625" customWidth="1"/>
    <col min="10247" max="10247" width="13.7109375" customWidth="1"/>
    <col min="10248" max="10248" width="6" customWidth="1"/>
    <col min="10249" max="10249" width="3.7109375" customWidth="1"/>
    <col min="10250" max="10250" width="38.5703125" customWidth="1"/>
    <col min="10492" max="10492" width="11.5703125" customWidth="1"/>
    <col min="10493" max="10493" width="12" customWidth="1"/>
    <col min="10494" max="10494" width="22.42578125" bestFit="1" customWidth="1"/>
    <col min="10495" max="10495" width="11.42578125" customWidth="1"/>
    <col min="10496" max="10496" width="46.42578125" bestFit="1" customWidth="1"/>
    <col min="10497" max="10497" width="15.7109375" customWidth="1"/>
    <col min="10498" max="10498" width="44" bestFit="1" customWidth="1"/>
    <col min="10499" max="10499" width="6.5703125" customWidth="1"/>
    <col min="10500" max="10500" width="6.85546875" customWidth="1"/>
    <col min="10501" max="10501" width="10.85546875" customWidth="1"/>
    <col min="10502" max="10502" width="38.28515625" customWidth="1"/>
    <col min="10503" max="10503" width="13.7109375" customWidth="1"/>
    <col min="10504" max="10504" width="6" customWidth="1"/>
    <col min="10505" max="10505" width="3.7109375" customWidth="1"/>
    <col min="10506" max="10506" width="38.5703125" customWidth="1"/>
    <col min="10748" max="10748" width="11.5703125" customWidth="1"/>
    <col min="10749" max="10749" width="12" customWidth="1"/>
    <col min="10750" max="10750" width="22.42578125" bestFit="1" customWidth="1"/>
    <col min="10751" max="10751" width="11.42578125" customWidth="1"/>
    <col min="10752" max="10752" width="46.42578125" bestFit="1" customWidth="1"/>
    <col min="10753" max="10753" width="15.7109375" customWidth="1"/>
    <col min="10754" max="10754" width="44" bestFit="1" customWidth="1"/>
    <col min="10755" max="10755" width="6.5703125" customWidth="1"/>
    <col min="10756" max="10756" width="6.85546875" customWidth="1"/>
    <col min="10757" max="10757" width="10.85546875" customWidth="1"/>
    <col min="10758" max="10758" width="38.28515625" customWidth="1"/>
    <col min="10759" max="10759" width="13.7109375" customWidth="1"/>
    <col min="10760" max="10760" width="6" customWidth="1"/>
    <col min="10761" max="10761" width="3.7109375" customWidth="1"/>
    <col min="10762" max="10762" width="38.5703125" customWidth="1"/>
    <col min="11004" max="11004" width="11.5703125" customWidth="1"/>
    <col min="11005" max="11005" width="12" customWidth="1"/>
    <col min="11006" max="11006" width="22.42578125" bestFit="1" customWidth="1"/>
    <col min="11007" max="11007" width="11.42578125" customWidth="1"/>
    <col min="11008" max="11008" width="46.42578125" bestFit="1" customWidth="1"/>
    <col min="11009" max="11009" width="15.7109375" customWidth="1"/>
    <col min="11010" max="11010" width="44" bestFit="1" customWidth="1"/>
    <col min="11011" max="11011" width="6.5703125" customWidth="1"/>
    <col min="11012" max="11012" width="6.85546875" customWidth="1"/>
    <col min="11013" max="11013" width="10.85546875" customWidth="1"/>
    <col min="11014" max="11014" width="38.28515625" customWidth="1"/>
    <col min="11015" max="11015" width="13.7109375" customWidth="1"/>
    <col min="11016" max="11016" width="6" customWidth="1"/>
    <col min="11017" max="11017" width="3.7109375" customWidth="1"/>
    <col min="11018" max="11018" width="38.5703125" customWidth="1"/>
    <col min="11260" max="11260" width="11.5703125" customWidth="1"/>
    <col min="11261" max="11261" width="12" customWidth="1"/>
    <col min="11262" max="11262" width="22.42578125" bestFit="1" customWidth="1"/>
    <col min="11263" max="11263" width="11.42578125" customWidth="1"/>
    <col min="11264" max="11264" width="46.42578125" bestFit="1" customWidth="1"/>
    <col min="11265" max="11265" width="15.7109375" customWidth="1"/>
    <col min="11266" max="11266" width="44" bestFit="1" customWidth="1"/>
    <col min="11267" max="11267" width="6.5703125" customWidth="1"/>
    <col min="11268" max="11268" width="6.85546875" customWidth="1"/>
    <col min="11269" max="11269" width="10.85546875" customWidth="1"/>
    <col min="11270" max="11270" width="38.28515625" customWidth="1"/>
    <col min="11271" max="11271" width="13.7109375" customWidth="1"/>
    <col min="11272" max="11272" width="6" customWidth="1"/>
    <col min="11273" max="11273" width="3.7109375" customWidth="1"/>
    <col min="11274" max="11274" width="38.5703125" customWidth="1"/>
    <col min="11516" max="11516" width="11.5703125" customWidth="1"/>
    <col min="11517" max="11517" width="12" customWidth="1"/>
    <col min="11518" max="11518" width="22.42578125" bestFit="1" customWidth="1"/>
    <col min="11519" max="11519" width="11.42578125" customWidth="1"/>
    <col min="11520" max="11520" width="46.42578125" bestFit="1" customWidth="1"/>
    <col min="11521" max="11521" width="15.7109375" customWidth="1"/>
    <col min="11522" max="11522" width="44" bestFit="1" customWidth="1"/>
    <col min="11523" max="11523" width="6.5703125" customWidth="1"/>
    <col min="11524" max="11524" width="6.85546875" customWidth="1"/>
    <col min="11525" max="11525" width="10.85546875" customWidth="1"/>
    <col min="11526" max="11526" width="38.28515625" customWidth="1"/>
    <col min="11527" max="11527" width="13.7109375" customWidth="1"/>
    <col min="11528" max="11528" width="6" customWidth="1"/>
    <col min="11529" max="11529" width="3.7109375" customWidth="1"/>
    <col min="11530" max="11530" width="38.5703125" customWidth="1"/>
    <col min="11772" max="11772" width="11.5703125" customWidth="1"/>
    <col min="11773" max="11773" width="12" customWidth="1"/>
    <col min="11774" max="11774" width="22.42578125" bestFit="1" customWidth="1"/>
    <col min="11775" max="11775" width="11.42578125" customWidth="1"/>
    <col min="11776" max="11776" width="46.42578125" bestFit="1" customWidth="1"/>
    <col min="11777" max="11777" width="15.7109375" customWidth="1"/>
    <col min="11778" max="11778" width="44" bestFit="1" customWidth="1"/>
    <col min="11779" max="11779" width="6.5703125" customWidth="1"/>
    <col min="11780" max="11780" width="6.85546875" customWidth="1"/>
    <col min="11781" max="11781" width="10.85546875" customWidth="1"/>
    <col min="11782" max="11782" width="38.28515625" customWidth="1"/>
    <col min="11783" max="11783" width="13.7109375" customWidth="1"/>
    <col min="11784" max="11784" width="6" customWidth="1"/>
    <col min="11785" max="11785" width="3.7109375" customWidth="1"/>
    <col min="11786" max="11786" width="38.5703125" customWidth="1"/>
    <col min="12028" max="12028" width="11.5703125" customWidth="1"/>
    <col min="12029" max="12029" width="12" customWidth="1"/>
    <col min="12030" max="12030" width="22.42578125" bestFit="1" customWidth="1"/>
    <col min="12031" max="12031" width="11.42578125" customWidth="1"/>
    <col min="12032" max="12032" width="46.42578125" bestFit="1" customWidth="1"/>
    <col min="12033" max="12033" width="15.7109375" customWidth="1"/>
    <col min="12034" max="12034" width="44" bestFit="1" customWidth="1"/>
    <col min="12035" max="12035" width="6.5703125" customWidth="1"/>
    <col min="12036" max="12036" width="6.85546875" customWidth="1"/>
    <col min="12037" max="12037" width="10.85546875" customWidth="1"/>
    <col min="12038" max="12038" width="38.28515625" customWidth="1"/>
    <col min="12039" max="12039" width="13.7109375" customWidth="1"/>
    <col min="12040" max="12040" width="6" customWidth="1"/>
    <col min="12041" max="12041" width="3.7109375" customWidth="1"/>
    <col min="12042" max="12042" width="38.5703125" customWidth="1"/>
    <col min="12284" max="12284" width="11.5703125" customWidth="1"/>
    <col min="12285" max="12285" width="12" customWidth="1"/>
    <col min="12286" max="12286" width="22.42578125" bestFit="1" customWidth="1"/>
    <col min="12287" max="12287" width="11.42578125" customWidth="1"/>
    <col min="12288" max="12288" width="46.42578125" bestFit="1" customWidth="1"/>
    <col min="12289" max="12289" width="15.7109375" customWidth="1"/>
    <col min="12290" max="12290" width="44" bestFit="1" customWidth="1"/>
    <col min="12291" max="12291" width="6.5703125" customWidth="1"/>
    <col min="12292" max="12292" width="6.85546875" customWidth="1"/>
    <col min="12293" max="12293" width="10.85546875" customWidth="1"/>
    <col min="12294" max="12294" width="38.28515625" customWidth="1"/>
    <col min="12295" max="12295" width="13.7109375" customWidth="1"/>
    <col min="12296" max="12296" width="6" customWidth="1"/>
    <col min="12297" max="12297" width="3.7109375" customWidth="1"/>
    <col min="12298" max="12298" width="38.5703125" customWidth="1"/>
    <col min="12540" max="12540" width="11.5703125" customWidth="1"/>
    <col min="12541" max="12541" width="12" customWidth="1"/>
    <col min="12542" max="12542" width="22.42578125" bestFit="1" customWidth="1"/>
    <col min="12543" max="12543" width="11.42578125" customWidth="1"/>
    <col min="12544" max="12544" width="46.42578125" bestFit="1" customWidth="1"/>
    <col min="12545" max="12545" width="15.7109375" customWidth="1"/>
    <col min="12546" max="12546" width="44" bestFit="1" customWidth="1"/>
    <col min="12547" max="12547" width="6.5703125" customWidth="1"/>
    <col min="12548" max="12548" width="6.85546875" customWidth="1"/>
    <col min="12549" max="12549" width="10.85546875" customWidth="1"/>
    <col min="12550" max="12550" width="38.28515625" customWidth="1"/>
    <col min="12551" max="12551" width="13.7109375" customWidth="1"/>
    <col min="12552" max="12552" width="6" customWidth="1"/>
    <col min="12553" max="12553" width="3.7109375" customWidth="1"/>
    <col min="12554" max="12554" width="38.5703125" customWidth="1"/>
    <col min="12796" max="12796" width="11.5703125" customWidth="1"/>
    <col min="12797" max="12797" width="12" customWidth="1"/>
    <col min="12798" max="12798" width="22.42578125" bestFit="1" customWidth="1"/>
    <col min="12799" max="12799" width="11.42578125" customWidth="1"/>
    <col min="12800" max="12800" width="46.42578125" bestFit="1" customWidth="1"/>
    <col min="12801" max="12801" width="15.7109375" customWidth="1"/>
    <col min="12802" max="12802" width="44" bestFit="1" customWidth="1"/>
    <col min="12803" max="12803" width="6.5703125" customWidth="1"/>
    <col min="12804" max="12804" width="6.85546875" customWidth="1"/>
    <col min="12805" max="12805" width="10.85546875" customWidth="1"/>
    <col min="12806" max="12806" width="38.28515625" customWidth="1"/>
    <col min="12807" max="12807" width="13.7109375" customWidth="1"/>
    <col min="12808" max="12808" width="6" customWidth="1"/>
    <col min="12809" max="12809" width="3.7109375" customWidth="1"/>
    <col min="12810" max="12810" width="38.5703125" customWidth="1"/>
    <col min="13052" max="13052" width="11.5703125" customWidth="1"/>
    <col min="13053" max="13053" width="12" customWidth="1"/>
    <col min="13054" max="13054" width="22.42578125" bestFit="1" customWidth="1"/>
    <col min="13055" max="13055" width="11.42578125" customWidth="1"/>
    <col min="13056" max="13056" width="46.42578125" bestFit="1" customWidth="1"/>
    <col min="13057" max="13057" width="15.7109375" customWidth="1"/>
    <col min="13058" max="13058" width="44" bestFit="1" customWidth="1"/>
    <col min="13059" max="13059" width="6.5703125" customWidth="1"/>
    <col min="13060" max="13060" width="6.85546875" customWidth="1"/>
    <col min="13061" max="13061" width="10.85546875" customWidth="1"/>
    <col min="13062" max="13062" width="38.28515625" customWidth="1"/>
    <col min="13063" max="13063" width="13.7109375" customWidth="1"/>
    <col min="13064" max="13064" width="6" customWidth="1"/>
    <col min="13065" max="13065" width="3.7109375" customWidth="1"/>
    <col min="13066" max="13066" width="38.5703125" customWidth="1"/>
    <col min="13308" max="13308" width="11.5703125" customWidth="1"/>
    <col min="13309" max="13309" width="12" customWidth="1"/>
    <col min="13310" max="13310" width="22.42578125" bestFit="1" customWidth="1"/>
    <col min="13311" max="13311" width="11.42578125" customWidth="1"/>
    <col min="13312" max="13312" width="46.42578125" bestFit="1" customWidth="1"/>
    <col min="13313" max="13313" width="15.7109375" customWidth="1"/>
    <col min="13314" max="13314" width="44" bestFit="1" customWidth="1"/>
    <col min="13315" max="13315" width="6.5703125" customWidth="1"/>
    <col min="13316" max="13316" width="6.85546875" customWidth="1"/>
    <col min="13317" max="13317" width="10.85546875" customWidth="1"/>
    <col min="13318" max="13318" width="38.28515625" customWidth="1"/>
    <col min="13319" max="13319" width="13.7109375" customWidth="1"/>
    <col min="13320" max="13320" width="6" customWidth="1"/>
    <col min="13321" max="13321" width="3.7109375" customWidth="1"/>
    <col min="13322" max="13322" width="38.5703125" customWidth="1"/>
    <col min="13564" max="13564" width="11.5703125" customWidth="1"/>
    <col min="13565" max="13565" width="12" customWidth="1"/>
    <col min="13566" max="13566" width="22.42578125" bestFit="1" customWidth="1"/>
    <col min="13567" max="13567" width="11.42578125" customWidth="1"/>
    <col min="13568" max="13568" width="46.42578125" bestFit="1" customWidth="1"/>
    <col min="13569" max="13569" width="15.7109375" customWidth="1"/>
    <col min="13570" max="13570" width="44" bestFit="1" customWidth="1"/>
    <col min="13571" max="13571" width="6.5703125" customWidth="1"/>
    <col min="13572" max="13572" width="6.85546875" customWidth="1"/>
    <col min="13573" max="13573" width="10.85546875" customWidth="1"/>
    <col min="13574" max="13574" width="38.28515625" customWidth="1"/>
    <col min="13575" max="13575" width="13.7109375" customWidth="1"/>
    <col min="13576" max="13576" width="6" customWidth="1"/>
    <col min="13577" max="13577" width="3.7109375" customWidth="1"/>
    <col min="13578" max="13578" width="38.5703125" customWidth="1"/>
    <col min="13820" max="13820" width="11.5703125" customWidth="1"/>
    <col min="13821" max="13821" width="12" customWidth="1"/>
    <col min="13822" max="13822" width="22.42578125" bestFit="1" customWidth="1"/>
    <col min="13823" max="13823" width="11.42578125" customWidth="1"/>
    <col min="13824" max="13824" width="46.42578125" bestFit="1" customWidth="1"/>
    <col min="13825" max="13825" width="15.7109375" customWidth="1"/>
    <col min="13826" max="13826" width="44" bestFit="1" customWidth="1"/>
    <col min="13827" max="13827" width="6.5703125" customWidth="1"/>
    <col min="13828" max="13828" width="6.85546875" customWidth="1"/>
    <col min="13829" max="13829" width="10.85546875" customWidth="1"/>
    <col min="13830" max="13830" width="38.28515625" customWidth="1"/>
    <col min="13831" max="13831" width="13.7109375" customWidth="1"/>
    <col min="13832" max="13832" width="6" customWidth="1"/>
    <col min="13833" max="13833" width="3.7109375" customWidth="1"/>
    <col min="13834" max="13834" width="38.5703125" customWidth="1"/>
    <col min="14076" max="14076" width="11.5703125" customWidth="1"/>
    <col min="14077" max="14077" width="12" customWidth="1"/>
    <col min="14078" max="14078" width="22.42578125" bestFit="1" customWidth="1"/>
    <col min="14079" max="14079" width="11.42578125" customWidth="1"/>
    <col min="14080" max="14080" width="46.42578125" bestFit="1" customWidth="1"/>
    <col min="14081" max="14081" width="15.7109375" customWidth="1"/>
    <col min="14082" max="14082" width="44" bestFit="1" customWidth="1"/>
    <col min="14083" max="14083" width="6.5703125" customWidth="1"/>
    <col min="14084" max="14084" width="6.85546875" customWidth="1"/>
    <col min="14085" max="14085" width="10.85546875" customWidth="1"/>
    <col min="14086" max="14086" width="38.28515625" customWidth="1"/>
    <col min="14087" max="14087" width="13.7109375" customWidth="1"/>
    <col min="14088" max="14088" width="6" customWidth="1"/>
    <col min="14089" max="14089" width="3.7109375" customWidth="1"/>
    <col min="14090" max="14090" width="38.5703125" customWidth="1"/>
    <col min="14332" max="14332" width="11.5703125" customWidth="1"/>
    <col min="14333" max="14333" width="12" customWidth="1"/>
    <col min="14334" max="14334" width="22.42578125" bestFit="1" customWidth="1"/>
    <col min="14335" max="14335" width="11.42578125" customWidth="1"/>
    <col min="14336" max="14336" width="46.42578125" bestFit="1" customWidth="1"/>
    <col min="14337" max="14337" width="15.7109375" customWidth="1"/>
    <col min="14338" max="14338" width="44" bestFit="1" customWidth="1"/>
    <col min="14339" max="14339" width="6.5703125" customWidth="1"/>
    <col min="14340" max="14340" width="6.85546875" customWidth="1"/>
    <col min="14341" max="14341" width="10.85546875" customWidth="1"/>
    <col min="14342" max="14342" width="38.28515625" customWidth="1"/>
    <col min="14343" max="14343" width="13.7109375" customWidth="1"/>
    <col min="14344" max="14344" width="6" customWidth="1"/>
    <col min="14345" max="14345" width="3.7109375" customWidth="1"/>
    <col min="14346" max="14346" width="38.5703125" customWidth="1"/>
    <col min="14588" max="14588" width="11.5703125" customWidth="1"/>
    <col min="14589" max="14589" width="12" customWidth="1"/>
    <col min="14590" max="14590" width="22.42578125" bestFit="1" customWidth="1"/>
    <col min="14591" max="14591" width="11.42578125" customWidth="1"/>
    <col min="14592" max="14592" width="46.42578125" bestFit="1" customWidth="1"/>
    <col min="14593" max="14593" width="15.7109375" customWidth="1"/>
    <col min="14594" max="14594" width="44" bestFit="1" customWidth="1"/>
    <col min="14595" max="14595" width="6.5703125" customWidth="1"/>
    <col min="14596" max="14596" width="6.85546875" customWidth="1"/>
    <col min="14597" max="14597" width="10.85546875" customWidth="1"/>
    <col min="14598" max="14598" width="38.28515625" customWidth="1"/>
    <col min="14599" max="14599" width="13.7109375" customWidth="1"/>
    <col min="14600" max="14600" width="6" customWidth="1"/>
    <col min="14601" max="14601" width="3.7109375" customWidth="1"/>
    <col min="14602" max="14602" width="38.5703125" customWidth="1"/>
    <col min="14844" max="14844" width="11.5703125" customWidth="1"/>
    <col min="14845" max="14845" width="12" customWidth="1"/>
    <col min="14846" max="14846" width="22.42578125" bestFit="1" customWidth="1"/>
    <col min="14847" max="14847" width="11.42578125" customWidth="1"/>
    <col min="14848" max="14848" width="46.42578125" bestFit="1" customWidth="1"/>
    <col min="14849" max="14849" width="15.7109375" customWidth="1"/>
    <col min="14850" max="14850" width="44" bestFit="1" customWidth="1"/>
    <col min="14851" max="14851" width="6.5703125" customWidth="1"/>
    <col min="14852" max="14852" width="6.85546875" customWidth="1"/>
    <col min="14853" max="14853" width="10.85546875" customWidth="1"/>
    <col min="14854" max="14854" width="38.28515625" customWidth="1"/>
    <col min="14855" max="14855" width="13.7109375" customWidth="1"/>
    <col min="14856" max="14856" width="6" customWidth="1"/>
    <col min="14857" max="14857" width="3.7109375" customWidth="1"/>
    <col min="14858" max="14858" width="38.5703125" customWidth="1"/>
    <col min="15100" max="15100" width="11.5703125" customWidth="1"/>
    <col min="15101" max="15101" width="12" customWidth="1"/>
    <col min="15102" max="15102" width="22.42578125" bestFit="1" customWidth="1"/>
    <col min="15103" max="15103" width="11.42578125" customWidth="1"/>
    <col min="15104" max="15104" width="46.42578125" bestFit="1" customWidth="1"/>
    <col min="15105" max="15105" width="15.7109375" customWidth="1"/>
    <col min="15106" max="15106" width="44" bestFit="1" customWidth="1"/>
    <col min="15107" max="15107" width="6.5703125" customWidth="1"/>
    <col min="15108" max="15108" width="6.85546875" customWidth="1"/>
    <col min="15109" max="15109" width="10.85546875" customWidth="1"/>
    <col min="15110" max="15110" width="38.28515625" customWidth="1"/>
    <col min="15111" max="15111" width="13.7109375" customWidth="1"/>
    <col min="15112" max="15112" width="6" customWidth="1"/>
    <col min="15113" max="15113" width="3.7109375" customWidth="1"/>
    <col min="15114" max="15114" width="38.5703125" customWidth="1"/>
    <col min="15356" max="15356" width="11.5703125" customWidth="1"/>
    <col min="15357" max="15357" width="12" customWidth="1"/>
    <col min="15358" max="15358" width="22.42578125" bestFit="1" customWidth="1"/>
    <col min="15359" max="15359" width="11.42578125" customWidth="1"/>
    <col min="15360" max="15360" width="46.42578125" bestFit="1" customWidth="1"/>
    <col min="15361" max="15361" width="15.7109375" customWidth="1"/>
    <col min="15362" max="15362" width="44" bestFit="1" customWidth="1"/>
    <col min="15363" max="15363" width="6.5703125" customWidth="1"/>
    <col min="15364" max="15364" width="6.85546875" customWidth="1"/>
    <col min="15365" max="15365" width="10.85546875" customWidth="1"/>
    <col min="15366" max="15366" width="38.28515625" customWidth="1"/>
    <col min="15367" max="15367" width="13.7109375" customWidth="1"/>
    <col min="15368" max="15368" width="6" customWidth="1"/>
    <col min="15369" max="15369" width="3.7109375" customWidth="1"/>
    <col min="15370" max="15370" width="38.5703125" customWidth="1"/>
    <col min="15612" max="15612" width="11.5703125" customWidth="1"/>
    <col min="15613" max="15613" width="12" customWidth="1"/>
    <col min="15614" max="15614" width="22.42578125" bestFit="1" customWidth="1"/>
    <col min="15615" max="15615" width="11.42578125" customWidth="1"/>
    <col min="15616" max="15616" width="46.42578125" bestFit="1" customWidth="1"/>
    <col min="15617" max="15617" width="15.7109375" customWidth="1"/>
    <col min="15618" max="15618" width="44" bestFit="1" customWidth="1"/>
    <col min="15619" max="15619" width="6.5703125" customWidth="1"/>
    <col min="15620" max="15620" width="6.85546875" customWidth="1"/>
    <col min="15621" max="15621" width="10.85546875" customWidth="1"/>
    <col min="15622" max="15622" width="38.28515625" customWidth="1"/>
    <col min="15623" max="15623" width="13.7109375" customWidth="1"/>
    <col min="15624" max="15624" width="6" customWidth="1"/>
    <col min="15625" max="15625" width="3.7109375" customWidth="1"/>
    <col min="15626" max="15626" width="38.5703125" customWidth="1"/>
    <col min="15868" max="15868" width="11.5703125" customWidth="1"/>
    <col min="15869" max="15869" width="12" customWidth="1"/>
    <col min="15870" max="15870" width="22.42578125" bestFit="1" customWidth="1"/>
    <col min="15871" max="15871" width="11.42578125" customWidth="1"/>
    <col min="15872" max="15872" width="46.42578125" bestFit="1" customWidth="1"/>
    <col min="15873" max="15873" width="15.7109375" customWidth="1"/>
    <col min="15874" max="15874" width="44" bestFit="1" customWidth="1"/>
    <col min="15875" max="15875" width="6.5703125" customWidth="1"/>
    <col min="15876" max="15876" width="6.85546875" customWidth="1"/>
    <col min="15877" max="15877" width="10.85546875" customWidth="1"/>
    <col min="15878" max="15878" width="38.28515625" customWidth="1"/>
    <col min="15879" max="15879" width="13.7109375" customWidth="1"/>
    <col min="15880" max="15880" width="6" customWidth="1"/>
    <col min="15881" max="15881" width="3.7109375" customWidth="1"/>
    <col min="15882" max="15882" width="38.5703125" customWidth="1"/>
    <col min="16124" max="16124" width="11.5703125" customWidth="1"/>
    <col min="16125" max="16125" width="12" customWidth="1"/>
    <col min="16126" max="16126" width="22.42578125" bestFit="1" customWidth="1"/>
    <col min="16127" max="16127" width="11.42578125" customWidth="1"/>
    <col min="16128" max="16128" width="46.42578125" bestFit="1" customWidth="1"/>
    <col min="16129" max="16129" width="15.7109375" customWidth="1"/>
    <col min="16130" max="16130" width="44" bestFit="1" customWidth="1"/>
    <col min="16131" max="16131" width="6.5703125" customWidth="1"/>
    <col min="16132" max="16132" width="6.85546875" customWidth="1"/>
    <col min="16133" max="16133" width="10.85546875" customWidth="1"/>
    <col min="16134" max="16134" width="38.28515625" customWidth="1"/>
    <col min="16135" max="16135" width="13.7109375" customWidth="1"/>
    <col min="16136" max="16136" width="6" customWidth="1"/>
    <col min="16137" max="16137" width="3.7109375" customWidth="1"/>
    <col min="16138" max="16138" width="38.5703125" customWidth="1"/>
  </cols>
  <sheetData>
    <row r="1" spans="1:14" x14ac:dyDescent="0.25">
      <c r="A1" s="21" t="s">
        <v>18</v>
      </c>
      <c r="B1" s="22">
        <f>K23</f>
        <v>0.99900099900099915</v>
      </c>
      <c r="C1" s="23">
        <f>AVERAGE(B1:B7)</f>
        <v>0.99907232055443662</v>
      </c>
      <c r="D1" s="24">
        <f>H23</f>
        <v>1.0009999999999999</v>
      </c>
      <c r="E1" s="21" t="e">
        <f>AVERAGE(F1:F6)</f>
        <v>#REF!</v>
      </c>
      <c r="F1" s="25">
        <f>AVERAGE(J11,J26,J41,J56,J71,J86,J101)</f>
        <v>1</v>
      </c>
      <c r="G1" s="26" t="s">
        <v>19</v>
      </c>
      <c r="H1" s="27"/>
      <c r="I1" s="27"/>
      <c r="J1" s="28"/>
      <c r="K1" s="29"/>
      <c r="L1" s="30"/>
      <c r="M1" s="31"/>
      <c r="N1" s="31"/>
    </row>
    <row r="2" spans="1:14" x14ac:dyDescent="0.25">
      <c r="A2" s="21" t="s">
        <v>20</v>
      </c>
      <c r="B2" s="22">
        <f>K38</f>
        <v>0.99950024987506259</v>
      </c>
      <c r="C2" s="32" t="s">
        <v>21</v>
      </c>
      <c r="D2" s="24">
        <f>H38</f>
        <v>2.0009999999999999</v>
      </c>
      <c r="E2" s="27" t="str">
        <f>SUM(D1:D7)*10&amp;" "&amp;"Horas"&amp;" "&amp;"Hombre"&amp;" "&amp;"Disponibles"&amp;" "&amp;"Semana"</f>
        <v>80,07 Horas Hombre Disponibles Semana</v>
      </c>
      <c r="F2" s="25">
        <f>AVERAGE(J17,J32,J47,J62,J77,J92,J107)</f>
        <v>0</v>
      </c>
      <c r="G2" s="30" t="s">
        <v>22</v>
      </c>
      <c r="H2" s="27"/>
      <c r="I2" s="27"/>
      <c r="J2" s="28"/>
      <c r="K2" s="29"/>
      <c r="L2" s="30"/>
      <c r="M2" s="31"/>
      <c r="N2" s="31"/>
    </row>
    <row r="3" spans="1:14" x14ac:dyDescent="0.25">
      <c r="A3" s="21" t="s">
        <v>23</v>
      </c>
      <c r="B3" s="22">
        <f>K53</f>
        <v>0.99900099900099915</v>
      </c>
      <c r="C3" s="27"/>
      <c r="D3" s="24">
        <f>H53</f>
        <v>1.0009999999999999</v>
      </c>
      <c r="E3" s="27" t="str">
        <f>SUM(J23,J38,J53,J68,J83,J98,J113)&amp;" "&amp;"Horas"&amp;" "&amp;"Hombre"&amp;" "&amp;"Programadas"</f>
        <v>80 Horas Hombre Programadas</v>
      </c>
      <c r="F3" s="25" t="e">
        <f>AVERAGE(#REF!,#REF!,#REF!,#REF!,#REF!,#REF!,#REF!)</f>
        <v>#REF!</v>
      </c>
      <c r="G3" s="30" t="s">
        <v>24</v>
      </c>
      <c r="H3" s="27"/>
      <c r="I3" s="27"/>
      <c r="J3" s="28"/>
      <c r="K3" s="29"/>
      <c r="L3" s="30"/>
      <c r="M3" s="31"/>
      <c r="N3" s="31"/>
    </row>
    <row r="4" spans="1:14" x14ac:dyDescent="0.25">
      <c r="A4" s="21" t="s">
        <v>25</v>
      </c>
      <c r="B4" s="22">
        <f>K68</f>
        <v>0.99900099900099915</v>
      </c>
      <c r="C4" s="23">
        <f>1-C1</f>
        <v>9.2767944556337856E-4</v>
      </c>
      <c r="D4" s="24">
        <f>H68</f>
        <v>1.0009999999999999</v>
      </c>
      <c r="E4" s="27" t="str">
        <f>(SUM(D1:D7)*10)-(SUM(J23,J38,J53,J68,J83,J98,J113))&amp;" "&amp;"Horas"&amp;" "&amp;"Atención"&amp;" "&amp;"OT"&amp;" "&amp;"Reactivo"</f>
        <v>0,069999999999979 Horas Atención OT Reactivo</v>
      </c>
      <c r="F4" s="33" t="e">
        <f>AVERAGE(#REF!,#REF!,#REF!,#REF!,#REF!,#REF!,#REF!)</f>
        <v>#REF!</v>
      </c>
      <c r="G4" s="30" t="s">
        <v>26</v>
      </c>
      <c r="H4" s="27"/>
      <c r="I4" s="27"/>
      <c r="J4" s="28"/>
      <c r="K4" s="29"/>
      <c r="L4" s="30"/>
      <c r="M4" s="31"/>
      <c r="N4" s="31"/>
    </row>
    <row r="5" spans="1:14" x14ac:dyDescent="0.25">
      <c r="A5" s="21" t="s">
        <v>27</v>
      </c>
      <c r="B5" s="22">
        <f>K83</f>
        <v>0.99900099900099915</v>
      </c>
      <c r="C5" s="32" t="s">
        <v>28</v>
      </c>
      <c r="D5" s="24">
        <f>H83</f>
        <v>1.0009999999999999</v>
      </c>
      <c r="E5" s="27"/>
      <c r="F5" s="25" t="e">
        <f>AVERAGE(#REF!,#REF!,#REF!,#REF!,#REF!,#REF!,#REF!)</f>
        <v>#REF!</v>
      </c>
      <c r="G5" s="34" t="s">
        <v>29</v>
      </c>
      <c r="H5" s="27"/>
      <c r="I5" s="27"/>
      <c r="J5" s="28"/>
      <c r="K5" s="29"/>
      <c r="L5" s="30"/>
      <c r="M5" s="31"/>
      <c r="N5" s="31"/>
    </row>
    <row r="6" spans="1:14" x14ac:dyDescent="0.25">
      <c r="A6" s="21" t="s">
        <v>30</v>
      </c>
      <c r="B6" s="22">
        <f>K98</f>
        <v>0.99900099900099915</v>
      </c>
      <c r="C6" s="27"/>
      <c r="D6" s="24">
        <f>H98</f>
        <v>1.0009999999999999</v>
      </c>
      <c r="E6" s="27"/>
      <c r="F6" s="25" t="e">
        <f>AVERAGE(#REF!,#REF!,#REF!,#REF!,#REF!,#REF!,#REF!)</f>
        <v>#REF!</v>
      </c>
      <c r="G6" s="34" t="s">
        <v>31</v>
      </c>
      <c r="H6" s="27"/>
      <c r="I6" s="27"/>
      <c r="J6" s="28"/>
      <c r="K6" s="29"/>
      <c r="L6" s="30"/>
      <c r="M6" s="31"/>
      <c r="N6" s="31"/>
    </row>
    <row r="7" spans="1:14" x14ac:dyDescent="0.25">
      <c r="A7" s="21" t="s">
        <v>32</v>
      </c>
      <c r="B7" s="22">
        <f>K113</f>
        <v>0.99900099900099915</v>
      </c>
      <c r="C7" s="27"/>
      <c r="D7" s="24">
        <f>H113</f>
        <v>1.0009999999999999</v>
      </c>
      <c r="E7" s="27"/>
      <c r="F7" s="24"/>
      <c r="G7" s="34"/>
      <c r="H7" s="27"/>
      <c r="I7" s="27"/>
      <c r="J7" s="28"/>
      <c r="K7" s="29"/>
      <c r="L7" s="30"/>
      <c r="M7" s="31"/>
      <c r="N7" s="31"/>
    </row>
    <row r="8" spans="1:14" ht="23.25" customHeight="1" thickBot="1" x14ac:dyDescent="0.3">
      <c r="A8" s="35"/>
      <c r="B8" s="36"/>
      <c r="C8" s="37" t="s">
        <v>15</v>
      </c>
      <c r="D8" s="38" t="s">
        <v>136</v>
      </c>
      <c r="E8" s="137" t="s">
        <v>33</v>
      </c>
      <c r="F8" s="138"/>
      <c r="G8" s="139"/>
      <c r="H8" s="39"/>
      <c r="I8" s="140" t="s">
        <v>34</v>
      </c>
      <c r="J8" s="141"/>
      <c r="K8" s="142"/>
      <c r="L8" s="30"/>
      <c r="M8" s="31"/>
      <c r="N8" s="31"/>
    </row>
    <row r="9" spans="1:14" ht="16.5" thickTop="1" thickBot="1" x14ac:dyDescent="0.3">
      <c r="A9" s="40"/>
      <c r="B9" s="41"/>
      <c r="C9" s="41"/>
      <c r="D9" s="41"/>
      <c r="E9" s="143">
        <v>46027</v>
      </c>
      <c r="F9" s="144"/>
      <c r="G9" s="42"/>
      <c r="H9" s="43"/>
      <c r="I9" s="41"/>
      <c r="J9" s="44"/>
      <c r="K9" s="45"/>
      <c r="L9" s="30" t="s">
        <v>35</v>
      </c>
      <c r="M9" s="31" t="s">
        <v>36</v>
      </c>
      <c r="N9" s="31"/>
    </row>
    <row r="10" spans="1:14" ht="45.75" thickTop="1" x14ac:dyDescent="0.25">
      <c r="A10" s="46" t="s">
        <v>37</v>
      </c>
      <c r="B10" s="47" t="s">
        <v>38</v>
      </c>
      <c r="C10" s="47" t="s">
        <v>4</v>
      </c>
      <c r="D10" s="47" t="s">
        <v>5</v>
      </c>
      <c r="E10" s="47" t="s">
        <v>39</v>
      </c>
      <c r="F10" s="47" t="s">
        <v>7</v>
      </c>
      <c r="G10" s="48" t="s">
        <v>8</v>
      </c>
      <c r="H10" s="47" t="s">
        <v>40</v>
      </c>
      <c r="I10" s="47" t="s">
        <v>10</v>
      </c>
      <c r="J10" s="49" t="s">
        <v>41</v>
      </c>
      <c r="K10" s="50" t="s">
        <v>42</v>
      </c>
      <c r="L10" s="30" t="s">
        <v>43</v>
      </c>
      <c r="M10" s="31" t="s">
        <v>36</v>
      </c>
      <c r="N10" s="31"/>
    </row>
    <row r="11" spans="1:14" x14ac:dyDescent="0.25">
      <c r="A11" s="51"/>
      <c r="B11" s="52"/>
      <c r="C11" s="51"/>
      <c r="D11" s="52"/>
      <c r="E11" s="53" t="s">
        <v>44</v>
      </c>
      <c r="F11" s="52"/>
      <c r="G11" s="51"/>
      <c r="H11" s="54">
        <v>1</v>
      </c>
      <c r="I11" s="54">
        <f>H11*10</f>
        <v>10</v>
      </c>
      <c r="J11" s="55">
        <f>SUM(J12:J16)/I11</f>
        <v>1</v>
      </c>
      <c r="K11" s="56" t="str">
        <f>SUM(J12:J16)&amp;" "&amp;"Hrs"&amp;" "&amp;"GRUPO 1"</f>
        <v>10 Hrs GRUPO 1</v>
      </c>
      <c r="L11" s="30" t="s">
        <v>19</v>
      </c>
      <c r="M11" s="31" t="s">
        <v>36</v>
      </c>
      <c r="N11" s="57"/>
    </row>
    <row r="12" spans="1:14" x14ac:dyDescent="0.25">
      <c r="A12" s="58">
        <v>921969</v>
      </c>
      <c r="B12" s="12" t="s">
        <v>127</v>
      </c>
      <c r="C12" s="59" t="s">
        <v>128</v>
      </c>
      <c r="D12" s="12">
        <v>3</v>
      </c>
      <c r="E12" s="18" t="s">
        <v>133</v>
      </c>
      <c r="F12" s="58" t="s">
        <v>134</v>
      </c>
      <c r="G12" s="60" t="s">
        <v>135</v>
      </c>
      <c r="H12" s="58">
        <v>1</v>
      </c>
      <c r="I12" s="58">
        <v>10</v>
      </c>
      <c r="J12" s="61">
        <f>IF(H12&lt;&gt;"",H12*I12,"")</f>
        <v>10</v>
      </c>
      <c r="K12" s="62"/>
      <c r="L12" s="30" t="s">
        <v>19</v>
      </c>
      <c r="M12" s="31" t="s">
        <v>36</v>
      </c>
      <c r="N12" s="57"/>
    </row>
    <row r="13" spans="1:14" hidden="1" x14ac:dyDescent="0.25">
      <c r="A13" s="58"/>
      <c r="B13" s="12"/>
      <c r="C13" s="59"/>
      <c r="D13" s="12"/>
      <c r="E13" s="18"/>
      <c r="F13" s="58"/>
      <c r="G13" s="60"/>
      <c r="H13" s="12"/>
      <c r="I13" s="12"/>
      <c r="J13" s="61" t="str">
        <f>IF(H13&lt;&gt;"",H13*I13,"")</f>
        <v/>
      </c>
      <c r="K13" s="62"/>
      <c r="L13" s="26" t="s">
        <v>19</v>
      </c>
      <c r="M13" s="31" t="s">
        <v>36</v>
      </c>
      <c r="N13" s="31"/>
    </row>
    <row r="14" spans="1:14" hidden="1" x14ac:dyDescent="0.25">
      <c r="A14" s="58"/>
      <c r="B14" s="12"/>
      <c r="C14" s="59"/>
      <c r="D14" s="12"/>
      <c r="E14" s="18"/>
      <c r="F14" s="58"/>
      <c r="G14" s="60"/>
      <c r="H14" s="12"/>
      <c r="I14" s="12"/>
      <c r="J14" s="61" t="str">
        <f>IF(H14&lt;&gt;"",H14*I14,"")</f>
        <v/>
      </c>
      <c r="K14" s="62"/>
      <c r="L14" s="30" t="s">
        <v>19</v>
      </c>
      <c r="M14" s="31" t="s">
        <v>36</v>
      </c>
      <c r="N14" s="57"/>
    </row>
    <row r="15" spans="1:14" hidden="1" x14ac:dyDescent="0.25">
      <c r="A15" s="63"/>
      <c r="B15" s="64"/>
      <c r="C15" s="65"/>
      <c r="D15" s="66"/>
      <c r="E15" s="67"/>
      <c r="F15" s="68"/>
      <c r="G15" s="67"/>
      <c r="H15" s="69"/>
      <c r="I15" s="69"/>
      <c r="J15" s="61" t="str">
        <f>IF(H15&lt;&gt;"",H15*I15,"")</f>
        <v/>
      </c>
      <c r="K15" s="62"/>
      <c r="L15" s="30" t="s">
        <v>19</v>
      </c>
      <c r="M15" s="31" t="s">
        <v>36</v>
      </c>
      <c r="N15" s="57"/>
    </row>
    <row r="16" spans="1:14" hidden="1" x14ac:dyDescent="0.25">
      <c r="A16" s="70"/>
      <c r="B16" s="70"/>
      <c r="C16" s="71"/>
      <c r="D16" s="72"/>
      <c r="E16" s="71"/>
      <c r="F16" s="72"/>
      <c r="G16" s="71"/>
      <c r="H16" s="72"/>
      <c r="I16" s="72"/>
      <c r="J16" s="61" t="str">
        <f>IF(H16&lt;&gt;"",H16*I16,"")</f>
        <v/>
      </c>
      <c r="K16" s="62"/>
      <c r="L16" s="30" t="s">
        <v>19</v>
      </c>
      <c r="M16" s="31" t="s">
        <v>36</v>
      </c>
      <c r="N16" s="57"/>
    </row>
    <row r="17" spans="1:14" hidden="1" x14ac:dyDescent="0.25">
      <c r="A17" s="73"/>
      <c r="B17" s="74"/>
      <c r="C17" s="74"/>
      <c r="D17" s="52"/>
      <c r="E17" s="53" t="s">
        <v>45</v>
      </c>
      <c r="F17" s="52"/>
      <c r="G17" s="75"/>
      <c r="H17" s="76">
        <v>1E-3</v>
      </c>
      <c r="I17" s="54">
        <f>H17*10</f>
        <v>0.01</v>
      </c>
      <c r="J17" s="55">
        <f>SUM(J18:J22)/I17</f>
        <v>0</v>
      </c>
      <c r="K17" s="56" t="str">
        <f>SUM(J18:J22)&amp;" "&amp;"Hrs"&amp;" "&amp;"GRUPO 2"</f>
        <v>0 Hrs GRUPO 2</v>
      </c>
      <c r="L17" s="30" t="s">
        <v>22</v>
      </c>
      <c r="M17" s="31" t="s">
        <v>36</v>
      </c>
      <c r="N17" s="57"/>
    </row>
    <row r="18" spans="1:14" hidden="1" x14ac:dyDescent="0.25">
      <c r="A18" s="77"/>
      <c r="B18" s="78"/>
      <c r="C18" s="79"/>
      <c r="D18" s="12"/>
      <c r="E18" s="19"/>
      <c r="F18" s="12"/>
      <c r="G18" s="19"/>
      <c r="H18" s="12"/>
      <c r="I18" s="12"/>
      <c r="J18" s="61" t="str">
        <f>IF(H18&lt;&gt;"",H18*I18,"")</f>
        <v/>
      </c>
      <c r="K18" s="80"/>
      <c r="L18" s="30" t="s">
        <v>22</v>
      </c>
      <c r="M18" s="31" t="s">
        <v>36</v>
      </c>
      <c r="N18" s="57"/>
    </row>
    <row r="19" spans="1:14" hidden="1" x14ac:dyDescent="0.25">
      <c r="A19" s="58"/>
      <c r="B19" s="12"/>
      <c r="C19" s="59"/>
      <c r="D19" s="12"/>
      <c r="E19" s="18"/>
      <c r="F19" s="12"/>
      <c r="G19" s="81"/>
      <c r="H19" s="12"/>
      <c r="I19" s="12"/>
      <c r="J19" s="61" t="str">
        <f>IF(H19&lt;&gt;"",H19*I19,"")</f>
        <v/>
      </c>
      <c r="K19" s="80"/>
      <c r="L19" s="30" t="s">
        <v>22</v>
      </c>
      <c r="M19" s="31" t="s">
        <v>36</v>
      </c>
      <c r="N19" s="57"/>
    </row>
    <row r="20" spans="1:14" hidden="1" x14ac:dyDescent="0.25">
      <c r="A20" s="12"/>
      <c r="B20" s="78"/>
      <c r="C20" s="82"/>
      <c r="D20" s="12"/>
      <c r="E20" s="19"/>
      <c r="F20" s="12"/>
      <c r="G20" s="19"/>
      <c r="H20" s="12"/>
      <c r="I20" s="12"/>
      <c r="J20" s="61" t="str">
        <f>IF(H20&lt;&gt;"",H20*I20,"")</f>
        <v/>
      </c>
      <c r="K20" s="80"/>
      <c r="L20" s="30" t="s">
        <v>22</v>
      </c>
      <c r="M20" s="31" t="s">
        <v>36</v>
      </c>
      <c r="N20" s="57"/>
    </row>
    <row r="21" spans="1:14" hidden="1" x14ac:dyDescent="0.25">
      <c r="A21" s="83"/>
      <c r="B21" s="70"/>
      <c r="C21" s="84"/>
      <c r="D21" s="72"/>
      <c r="E21" s="71"/>
      <c r="F21" s="72"/>
      <c r="G21" s="71"/>
      <c r="H21" s="72"/>
      <c r="I21" s="72"/>
      <c r="J21" s="61" t="str">
        <f>IF(H21&lt;&gt;"",H21*I21,"")</f>
        <v/>
      </c>
      <c r="K21" s="80"/>
      <c r="L21" s="30" t="s">
        <v>22</v>
      </c>
      <c r="M21" s="31" t="s">
        <v>36</v>
      </c>
      <c r="N21" s="57"/>
    </row>
    <row r="22" spans="1:14" hidden="1" x14ac:dyDescent="0.25">
      <c r="A22" s="83"/>
      <c r="B22" s="70"/>
      <c r="C22" s="84"/>
      <c r="D22" s="72"/>
      <c r="E22" s="71"/>
      <c r="F22" s="72"/>
      <c r="G22" s="71"/>
      <c r="H22" s="72"/>
      <c r="I22" s="72"/>
      <c r="J22" s="61" t="str">
        <f>IF(H22&lt;&gt;"",H22*I22,"")</f>
        <v/>
      </c>
      <c r="K22" s="80"/>
      <c r="L22" s="30" t="s">
        <v>22</v>
      </c>
      <c r="M22" s="31" t="s">
        <v>36</v>
      </c>
      <c r="N22" s="57"/>
    </row>
    <row r="23" spans="1:14" ht="15.75" thickBot="1" x14ac:dyDescent="0.3">
      <c r="A23" s="85"/>
      <c r="B23" s="86"/>
      <c r="C23" s="86"/>
      <c r="D23" s="86"/>
      <c r="E23" s="87" t="s">
        <v>46</v>
      </c>
      <c r="F23" s="88"/>
      <c r="G23" s="89"/>
      <c r="H23" s="90">
        <f>H17+H11</f>
        <v>1.0009999999999999</v>
      </c>
      <c r="I23" s="91">
        <f>H23*10</f>
        <v>10.009999999999998</v>
      </c>
      <c r="J23" s="92">
        <f>SUM(J18:J22,J12:J16)</f>
        <v>10</v>
      </c>
      <c r="K23" s="93">
        <f>J23/I23</f>
        <v>0.99900099900099915</v>
      </c>
      <c r="L23" s="30" t="s">
        <v>47</v>
      </c>
      <c r="M23" s="31" t="s">
        <v>36</v>
      </c>
      <c r="N23" s="31"/>
    </row>
    <row r="24" spans="1:14" ht="16.5" thickTop="1" thickBot="1" x14ac:dyDescent="0.3">
      <c r="A24" s="40"/>
      <c r="B24" s="41"/>
      <c r="C24" s="41"/>
      <c r="D24" s="41"/>
      <c r="E24" s="145">
        <f>E9+1</f>
        <v>46028</v>
      </c>
      <c r="F24" s="146"/>
      <c r="G24" s="42"/>
      <c r="H24" s="94"/>
      <c r="I24" s="95"/>
      <c r="J24" s="96"/>
      <c r="K24" s="97"/>
      <c r="L24" s="30" t="s">
        <v>35</v>
      </c>
      <c r="M24" s="31" t="s">
        <v>48</v>
      </c>
      <c r="N24" s="31"/>
    </row>
    <row r="25" spans="1:14" ht="46.5" thickTop="1" thickBot="1" x14ac:dyDescent="0.3">
      <c r="A25" s="98" t="s">
        <v>37</v>
      </c>
      <c r="B25" s="99" t="s">
        <v>38</v>
      </c>
      <c r="C25" s="99" t="s">
        <v>4</v>
      </c>
      <c r="D25" s="99" t="s">
        <v>5</v>
      </c>
      <c r="E25" s="47" t="s">
        <v>39</v>
      </c>
      <c r="F25" s="99" t="s">
        <v>7</v>
      </c>
      <c r="G25" s="100" t="s">
        <v>8</v>
      </c>
      <c r="H25" s="99" t="s">
        <v>40</v>
      </c>
      <c r="I25" s="99" t="s">
        <v>10</v>
      </c>
      <c r="J25" s="101" t="s">
        <v>41</v>
      </c>
      <c r="K25" s="102" t="s">
        <v>42</v>
      </c>
      <c r="L25" s="30" t="s">
        <v>43</v>
      </c>
      <c r="M25" s="31" t="s">
        <v>48</v>
      </c>
      <c r="N25" s="31"/>
    </row>
    <row r="26" spans="1:14" ht="15.75" thickTop="1" x14ac:dyDescent="0.25">
      <c r="A26" s="51"/>
      <c r="B26" s="52"/>
      <c r="C26" s="51"/>
      <c r="D26" s="52"/>
      <c r="E26" s="53" t="s">
        <v>44</v>
      </c>
      <c r="F26" s="52"/>
      <c r="G26" s="51"/>
      <c r="H26" s="54">
        <v>2</v>
      </c>
      <c r="I26" s="54">
        <f>H26*10</f>
        <v>20</v>
      </c>
      <c r="J26" s="55">
        <f>SUM(J27:J31)/I26</f>
        <v>1</v>
      </c>
      <c r="K26" s="56" t="str">
        <f>SUM(J27:J31)&amp;" "&amp;"Hrs"&amp;" "&amp;"GRUPO 1"</f>
        <v>20 Hrs GRUPO 1</v>
      </c>
      <c r="L26" s="30" t="s">
        <v>19</v>
      </c>
      <c r="M26" s="31" t="s">
        <v>48</v>
      </c>
      <c r="N26" s="57"/>
    </row>
    <row r="27" spans="1:14" x14ac:dyDescent="0.25">
      <c r="A27" s="58">
        <v>893213</v>
      </c>
      <c r="B27" s="12" t="s">
        <v>119</v>
      </c>
      <c r="C27" s="59" t="s">
        <v>120</v>
      </c>
      <c r="D27" s="12">
        <v>3</v>
      </c>
      <c r="E27" s="18" t="s">
        <v>121</v>
      </c>
      <c r="F27" s="58" t="s">
        <v>122</v>
      </c>
      <c r="G27" s="60" t="s">
        <v>123</v>
      </c>
      <c r="H27" s="12">
        <v>1</v>
      </c>
      <c r="I27" s="12">
        <v>5</v>
      </c>
      <c r="J27" s="61">
        <f>IF(H27&lt;&gt;"",H27*I27,"")</f>
        <v>5</v>
      </c>
      <c r="K27" s="62"/>
      <c r="L27" s="30" t="s">
        <v>19</v>
      </c>
      <c r="M27" s="31" t="s">
        <v>48</v>
      </c>
      <c r="N27" s="57"/>
    </row>
    <row r="28" spans="1:14" x14ac:dyDescent="0.25">
      <c r="A28" s="12">
        <v>916727</v>
      </c>
      <c r="B28" s="12" t="s">
        <v>127</v>
      </c>
      <c r="C28" s="59" t="s">
        <v>128</v>
      </c>
      <c r="D28" s="12">
        <v>3</v>
      </c>
      <c r="E28" s="18" t="s">
        <v>104</v>
      </c>
      <c r="F28" s="12" t="s">
        <v>115</v>
      </c>
      <c r="G28" s="81" t="s">
        <v>116</v>
      </c>
      <c r="H28" s="12">
        <v>1</v>
      </c>
      <c r="I28" s="12">
        <v>5</v>
      </c>
      <c r="J28" s="61">
        <f>IF(H28&lt;&gt;"",H28*I28,"")</f>
        <v>5</v>
      </c>
      <c r="K28" s="62"/>
      <c r="L28" s="30" t="s">
        <v>19</v>
      </c>
      <c r="M28" s="31" t="s">
        <v>48</v>
      </c>
      <c r="N28" s="57"/>
    </row>
    <row r="29" spans="1:14" x14ac:dyDescent="0.25">
      <c r="A29" s="77">
        <v>921957</v>
      </c>
      <c r="B29" s="78" t="s">
        <v>127</v>
      </c>
      <c r="C29" s="79" t="s">
        <v>128</v>
      </c>
      <c r="D29" s="12">
        <v>3</v>
      </c>
      <c r="E29" s="19" t="s">
        <v>137</v>
      </c>
      <c r="F29" s="12" t="s">
        <v>138</v>
      </c>
      <c r="G29" s="19" t="s">
        <v>139</v>
      </c>
      <c r="H29" s="12">
        <v>1</v>
      </c>
      <c r="I29" s="12">
        <v>10</v>
      </c>
      <c r="J29" s="61">
        <f>IF(H29&lt;&gt;"",H29*I29,"")</f>
        <v>10</v>
      </c>
      <c r="K29" s="62"/>
      <c r="L29" s="30" t="s">
        <v>19</v>
      </c>
      <c r="M29" s="31" t="s">
        <v>48</v>
      </c>
      <c r="N29" s="57"/>
    </row>
    <row r="30" spans="1:14" hidden="1" x14ac:dyDescent="0.25">
      <c r="A30" s="77"/>
      <c r="B30" s="78"/>
      <c r="C30" s="79"/>
      <c r="D30" s="12"/>
      <c r="E30" s="19"/>
      <c r="F30" s="12"/>
      <c r="G30" s="19"/>
      <c r="H30" s="12"/>
      <c r="I30" s="12"/>
      <c r="J30" s="61" t="str">
        <f>IF(H30&lt;&gt;"",H30*I30,"")</f>
        <v/>
      </c>
      <c r="K30" s="62"/>
      <c r="L30" s="30" t="s">
        <v>19</v>
      </c>
      <c r="M30" s="31" t="s">
        <v>48</v>
      </c>
      <c r="N30" s="57"/>
    </row>
    <row r="31" spans="1:14" hidden="1" x14ac:dyDescent="0.25">
      <c r="A31" s="70"/>
      <c r="B31" s="70"/>
      <c r="C31" s="71"/>
      <c r="D31" s="72"/>
      <c r="E31" s="71"/>
      <c r="F31" s="72"/>
      <c r="G31" s="71"/>
      <c r="H31" s="72"/>
      <c r="I31" s="72"/>
      <c r="J31" s="61" t="str">
        <f>IF(H31&lt;&gt;"",H31*I31,"")</f>
        <v/>
      </c>
      <c r="K31" s="62"/>
      <c r="L31" s="30" t="s">
        <v>19</v>
      </c>
      <c r="M31" s="31" t="s">
        <v>48</v>
      </c>
      <c r="N31" s="57"/>
    </row>
    <row r="32" spans="1:14" hidden="1" x14ac:dyDescent="0.25">
      <c r="A32" s="73"/>
      <c r="B32" s="74"/>
      <c r="C32" s="74"/>
      <c r="D32" s="52"/>
      <c r="E32" s="53" t="s">
        <v>45</v>
      </c>
      <c r="F32" s="52"/>
      <c r="G32" s="75"/>
      <c r="H32" s="76">
        <v>1E-3</v>
      </c>
      <c r="I32" s="54">
        <f>H32*10</f>
        <v>0.01</v>
      </c>
      <c r="J32" s="55">
        <f>SUM(J33:J37)/I32</f>
        <v>0</v>
      </c>
      <c r="K32" s="56" t="str">
        <f>SUM(J33:J37)&amp;" "&amp;"Hrs"&amp;" "&amp;"GRUPO 2"</f>
        <v>0 Hrs GRUPO 2</v>
      </c>
      <c r="L32" s="30" t="s">
        <v>22</v>
      </c>
      <c r="M32" s="31" t="s">
        <v>48</v>
      </c>
      <c r="N32" s="57"/>
    </row>
    <row r="33" spans="1:14" hidden="1" x14ac:dyDescent="0.25">
      <c r="A33" s="12"/>
      <c r="B33" s="78"/>
      <c r="C33" s="82"/>
      <c r="D33" s="12"/>
      <c r="E33" s="19"/>
      <c r="F33" s="12"/>
      <c r="G33" s="19"/>
      <c r="H33" s="12"/>
      <c r="I33" s="58"/>
      <c r="J33" s="61" t="str">
        <f>IF(H33&lt;&gt;"",H33*I33,"")</f>
        <v/>
      </c>
      <c r="K33" s="80"/>
      <c r="L33" s="30" t="s">
        <v>22</v>
      </c>
      <c r="M33" s="31" t="s">
        <v>48</v>
      </c>
      <c r="N33" s="57"/>
    </row>
    <row r="34" spans="1:14" hidden="1" x14ac:dyDescent="0.25">
      <c r="A34" s="77"/>
      <c r="B34" s="78"/>
      <c r="C34" s="79"/>
      <c r="D34" s="12"/>
      <c r="E34" s="19"/>
      <c r="F34" s="12"/>
      <c r="G34" s="19"/>
      <c r="H34" s="12"/>
      <c r="I34" s="12"/>
      <c r="J34" s="61" t="str">
        <f>IF(H34&lt;&gt;"",H34*I34,"")</f>
        <v/>
      </c>
      <c r="K34" s="80"/>
      <c r="L34" s="30" t="s">
        <v>22</v>
      </c>
      <c r="M34" s="31" t="s">
        <v>48</v>
      </c>
      <c r="N34" s="57"/>
    </row>
    <row r="35" spans="1:14" hidden="1" x14ac:dyDescent="0.25">
      <c r="A35" s="12"/>
      <c r="B35" s="78"/>
      <c r="C35" s="82"/>
      <c r="D35" s="12"/>
      <c r="E35" s="19"/>
      <c r="F35" s="12"/>
      <c r="G35" s="19"/>
      <c r="H35" s="12"/>
      <c r="I35" s="12"/>
      <c r="J35" s="61" t="str">
        <f>IF(H35&lt;&gt;"",H35*I35,"")</f>
        <v/>
      </c>
      <c r="K35" s="80"/>
      <c r="L35" s="30" t="s">
        <v>22</v>
      </c>
      <c r="M35" s="31" t="s">
        <v>48</v>
      </c>
      <c r="N35" s="57"/>
    </row>
    <row r="36" spans="1:14" hidden="1" x14ac:dyDescent="0.25">
      <c r="A36" s="71"/>
      <c r="B36" s="70"/>
      <c r="C36" s="71"/>
      <c r="D36" s="70"/>
      <c r="E36" s="71"/>
      <c r="F36" s="70"/>
      <c r="G36" s="71"/>
      <c r="H36" s="70"/>
      <c r="I36" s="70"/>
      <c r="J36" s="61" t="str">
        <f>IF(H36&lt;&gt;"",H36*I36,"")</f>
        <v/>
      </c>
      <c r="K36" s="80"/>
      <c r="L36" s="30" t="s">
        <v>22</v>
      </c>
      <c r="M36" s="31" t="s">
        <v>48</v>
      </c>
      <c r="N36" s="57"/>
    </row>
    <row r="37" spans="1:14" hidden="1" x14ac:dyDescent="0.25">
      <c r="A37" s="70"/>
      <c r="B37" s="71"/>
      <c r="C37" s="71"/>
      <c r="D37" s="72"/>
      <c r="E37" s="103"/>
      <c r="F37" s="70"/>
      <c r="G37" s="71"/>
      <c r="H37" s="70"/>
      <c r="I37" s="70"/>
      <c r="J37" s="61" t="str">
        <f>IF(H37&lt;&gt;"",H37*I37,"")</f>
        <v/>
      </c>
      <c r="K37" s="80"/>
      <c r="L37" s="30" t="s">
        <v>22</v>
      </c>
      <c r="M37" s="31" t="s">
        <v>48</v>
      </c>
      <c r="N37" s="57"/>
    </row>
    <row r="38" spans="1:14" ht="15.75" thickBot="1" x14ac:dyDescent="0.3">
      <c r="A38" s="85"/>
      <c r="B38" s="86"/>
      <c r="C38" s="86"/>
      <c r="D38" s="86"/>
      <c r="E38" s="87" t="s">
        <v>46</v>
      </c>
      <c r="F38" s="88"/>
      <c r="G38" s="89"/>
      <c r="H38" s="90">
        <f>H32+H26</f>
        <v>2.0009999999999999</v>
      </c>
      <c r="I38" s="91">
        <f>H38*10</f>
        <v>20.009999999999998</v>
      </c>
      <c r="J38" s="92">
        <f>SUM(J33:J37,J27:J31)</f>
        <v>20</v>
      </c>
      <c r="K38" s="93">
        <f>J38/I38</f>
        <v>0.99950024987506259</v>
      </c>
      <c r="L38" s="30" t="s">
        <v>47</v>
      </c>
      <c r="M38" s="31" t="s">
        <v>48</v>
      </c>
      <c r="N38" s="31"/>
    </row>
    <row r="39" spans="1:14" ht="16.5" thickTop="1" thickBot="1" x14ac:dyDescent="0.3">
      <c r="A39" s="104"/>
      <c r="B39" s="95"/>
      <c r="C39" s="95"/>
      <c r="D39" s="95"/>
      <c r="E39" s="135">
        <f>E24+1</f>
        <v>46029</v>
      </c>
      <c r="F39" s="136"/>
      <c r="G39" s="105"/>
      <c r="H39" s="94"/>
      <c r="I39" s="95"/>
      <c r="J39" s="96"/>
      <c r="K39" s="97"/>
      <c r="L39" s="30" t="s">
        <v>35</v>
      </c>
      <c r="M39" s="31" t="s">
        <v>49</v>
      </c>
      <c r="N39" s="31"/>
    </row>
    <row r="40" spans="1:14" ht="46.5" thickTop="1" thickBot="1" x14ac:dyDescent="0.3">
      <c r="A40" s="98" t="s">
        <v>37</v>
      </c>
      <c r="B40" s="99" t="s">
        <v>38</v>
      </c>
      <c r="C40" s="99" t="s">
        <v>4</v>
      </c>
      <c r="D40" s="99" t="s">
        <v>5</v>
      </c>
      <c r="E40" s="47" t="s">
        <v>39</v>
      </c>
      <c r="F40" s="99" t="s">
        <v>7</v>
      </c>
      <c r="G40" s="100" t="s">
        <v>8</v>
      </c>
      <c r="H40" s="99" t="s">
        <v>40</v>
      </c>
      <c r="I40" s="99" t="s">
        <v>10</v>
      </c>
      <c r="J40" s="101" t="s">
        <v>41</v>
      </c>
      <c r="K40" s="102" t="s">
        <v>42</v>
      </c>
      <c r="L40" s="30" t="s">
        <v>43</v>
      </c>
      <c r="M40" s="31" t="s">
        <v>49</v>
      </c>
      <c r="N40" s="31"/>
    </row>
    <row r="41" spans="1:14" ht="15.75" thickTop="1" x14ac:dyDescent="0.25">
      <c r="A41" s="51"/>
      <c r="B41" s="52"/>
      <c r="C41" s="51"/>
      <c r="D41" s="52"/>
      <c r="E41" s="53" t="s">
        <v>44</v>
      </c>
      <c r="F41" s="52"/>
      <c r="G41" s="51"/>
      <c r="H41" s="54">
        <v>1</v>
      </c>
      <c r="I41" s="54">
        <f>H41*10</f>
        <v>10</v>
      </c>
      <c r="J41" s="55">
        <f>SUM(J42:J46)/I41</f>
        <v>1</v>
      </c>
      <c r="K41" s="56" t="str">
        <f>SUM(J42:J46)&amp;" "&amp;"Hrs"&amp;" "&amp;"GRUPO 1"</f>
        <v>10 Hrs GRUPO 1</v>
      </c>
      <c r="L41" s="30" t="s">
        <v>19</v>
      </c>
      <c r="M41" s="31" t="s">
        <v>49</v>
      </c>
      <c r="N41" s="57"/>
    </row>
    <row r="42" spans="1:14" x14ac:dyDescent="0.25">
      <c r="A42" s="58">
        <v>890460</v>
      </c>
      <c r="B42" s="12" t="s">
        <v>117</v>
      </c>
      <c r="C42" s="59" t="s">
        <v>118</v>
      </c>
      <c r="D42" s="12">
        <v>3</v>
      </c>
      <c r="E42" s="18" t="s">
        <v>111</v>
      </c>
      <c r="F42" s="58" t="s">
        <v>112</v>
      </c>
      <c r="G42" s="60" t="s">
        <v>113</v>
      </c>
      <c r="H42" s="12">
        <v>1</v>
      </c>
      <c r="I42" s="12">
        <v>5</v>
      </c>
      <c r="J42" s="61">
        <f>IF(H42&lt;&gt;"",H42*I42,"")</f>
        <v>5</v>
      </c>
      <c r="K42" s="62"/>
      <c r="L42" s="30" t="s">
        <v>19</v>
      </c>
      <c r="M42" s="31" t="s">
        <v>49</v>
      </c>
      <c r="N42" s="57"/>
    </row>
    <row r="43" spans="1:14" x14ac:dyDescent="0.25">
      <c r="A43" s="12">
        <v>906934</v>
      </c>
      <c r="B43" s="12" t="s">
        <v>127</v>
      </c>
      <c r="C43" s="59" t="s">
        <v>128</v>
      </c>
      <c r="D43" s="12">
        <v>4</v>
      </c>
      <c r="E43" s="18" t="s">
        <v>104</v>
      </c>
      <c r="F43" s="12" t="s">
        <v>129</v>
      </c>
      <c r="G43" s="81" t="s">
        <v>130</v>
      </c>
      <c r="H43" s="12">
        <v>1</v>
      </c>
      <c r="I43" s="12">
        <v>5</v>
      </c>
      <c r="J43" s="61">
        <f>IF(H43&lt;&gt;"",H43*I43,"")</f>
        <v>5</v>
      </c>
      <c r="K43" s="62"/>
      <c r="L43" s="30" t="s">
        <v>19</v>
      </c>
      <c r="M43" s="31" t="s">
        <v>49</v>
      </c>
      <c r="N43" s="57"/>
    </row>
    <row r="44" spans="1:14" hidden="1" x14ac:dyDescent="0.25">
      <c r="A44" s="58"/>
      <c r="B44" s="12"/>
      <c r="C44" s="59"/>
      <c r="D44" s="12"/>
      <c r="E44" s="18"/>
      <c r="F44" s="58"/>
      <c r="G44" s="60"/>
      <c r="H44" s="12"/>
      <c r="I44" s="12"/>
      <c r="J44" s="61" t="str">
        <f>IF(H44&lt;&gt;"",H44*I44,"")</f>
        <v/>
      </c>
      <c r="K44" s="62"/>
      <c r="L44" s="30" t="s">
        <v>19</v>
      </c>
      <c r="M44" s="31" t="s">
        <v>49</v>
      </c>
      <c r="N44" s="57"/>
    </row>
    <row r="45" spans="1:14" hidden="1" x14ac:dyDescent="0.25">
      <c r="A45" s="77"/>
      <c r="B45" s="78"/>
      <c r="C45" s="79"/>
      <c r="D45" s="12"/>
      <c r="E45" s="19"/>
      <c r="F45" s="12"/>
      <c r="G45" s="19"/>
      <c r="H45" s="12"/>
      <c r="I45" s="12"/>
      <c r="J45" s="61" t="str">
        <f>IF(H45&lt;&gt;"",H45*I45,"")</f>
        <v/>
      </c>
      <c r="K45" s="62"/>
      <c r="L45" s="30" t="s">
        <v>19</v>
      </c>
      <c r="M45" s="31" t="s">
        <v>49</v>
      </c>
      <c r="N45" s="57"/>
    </row>
    <row r="46" spans="1:14" hidden="1" x14ac:dyDescent="0.25">
      <c r="A46" s="77"/>
      <c r="B46" s="78"/>
      <c r="C46" s="79"/>
      <c r="D46" s="12"/>
      <c r="E46" s="19"/>
      <c r="F46" s="12"/>
      <c r="G46" s="19"/>
      <c r="H46" s="12"/>
      <c r="I46" s="12"/>
      <c r="J46" s="61" t="str">
        <f>IF(H46&lt;&gt;"",H46*I46,"")</f>
        <v/>
      </c>
      <c r="K46" s="62"/>
      <c r="L46" s="30" t="s">
        <v>19</v>
      </c>
      <c r="M46" s="31" t="s">
        <v>49</v>
      </c>
      <c r="N46" s="57"/>
    </row>
    <row r="47" spans="1:14" hidden="1" x14ac:dyDescent="0.25">
      <c r="A47" s="73"/>
      <c r="B47" s="74"/>
      <c r="C47" s="74"/>
      <c r="D47" s="52"/>
      <c r="E47" s="53" t="s">
        <v>45</v>
      </c>
      <c r="F47" s="52"/>
      <c r="G47" s="75"/>
      <c r="H47" s="76">
        <v>1E-3</v>
      </c>
      <c r="I47" s="54">
        <f>H47*10</f>
        <v>0.01</v>
      </c>
      <c r="J47" s="55">
        <f>SUM(J48:J52)/I47</f>
        <v>0</v>
      </c>
      <c r="K47" s="56" t="str">
        <f>SUM(J48:J52)&amp;" "&amp;"Hrs"&amp;" "&amp;"GRUPO 2"</f>
        <v>0 Hrs GRUPO 2</v>
      </c>
      <c r="L47" s="30" t="s">
        <v>22</v>
      </c>
      <c r="M47" s="31" t="s">
        <v>49</v>
      </c>
      <c r="N47" s="57"/>
    </row>
    <row r="48" spans="1:14" hidden="1" x14ac:dyDescent="0.25">
      <c r="A48" s="58"/>
      <c r="B48" s="12"/>
      <c r="C48" s="59"/>
      <c r="D48" s="12"/>
      <c r="E48" s="18"/>
      <c r="F48" s="58"/>
      <c r="G48" s="60"/>
      <c r="H48" s="58"/>
      <c r="I48" s="58"/>
      <c r="J48" s="61" t="str">
        <f>IF(H48&lt;&gt;"",H48*I48,"")</f>
        <v/>
      </c>
      <c r="K48" s="80"/>
      <c r="L48" s="30" t="s">
        <v>22</v>
      </c>
      <c r="M48" s="31" t="s">
        <v>49</v>
      </c>
      <c r="N48" s="57"/>
    </row>
    <row r="49" spans="1:14" hidden="1" x14ac:dyDescent="0.25">
      <c r="A49" s="58"/>
      <c r="B49" s="12"/>
      <c r="C49" s="59"/>
      <c r="D49" s="12"/>
      <c r="E49" s="19"/>
      <c r="F49" s="58"/>
      <c r="G49" s="60"/>
      <c r="H49" s="12"/>
      <c r="I49" s="12"/>
      <c r="J49" s="61" t="str">
        <f>IF(H49&lt;&gt;"",H49*I49,"")</f>
        <v/>
      </c>
      <c r="K49" s="80"/>
      <c r="L49" s="30" t="s">
        <v>22</v>
      </c>
      <c r="M49" s="31" t="s">
        <v>49</v>
      </c>
      <c r="N49" s="57"/>
    </row>
    <row r="50" spans="1:14" hidden="1" x14ac:dyDescent="0.25">
      <c r="A50" s="77"/>
      <c r="B50" s="78"/>
      <c r="C50" s="79"/>
      <c r="D50" s="12"/>
      <c r="E50" s="19"/>
      <c r="F50" s="12"/>
      <c r="G50" s="19"/>
      <c r="H50" s="12"/>
      <c r="I50" s="12"/>
      <c r="J50" s="61" t="str">
        <f>IF(H50&lt;&gt;"",H50*I50,"")</f>
        <v/>
      </c>
      <c r="K50" s="80"/>
      <c r="L50" s="30" t="s">
        <v>22</v>
      </c>
      <c r="M50" s="31" t="s">
        <v>49</v>
      </c>
      <c r="N50" s="57"/>
    </row>
    <row r="51" spans="1:14" hidden="1" x14ac:dyDescent="0.25">
      <c r="A51" s="77"/>
      <c r="B51" s="78"/>
      <c r="C51" s="79"/>
      <c r="D51" s="12"/>
      <c r="E51" s="19"/>
      <c r="F51" s="12"/>
      <c r="G51" s="19"/>
      <c r="H51" s="12"/>
      <c r="I51" s="12"/>
      <c r="J51" s="61" t="str">
        <f>IF(H51&lt;&gt;"",H51*I51,"")</f>
        <v/>
      </c>
      <c r="K51" s="80"/>
      <c r="L51" s="30" t="s">
        <v>22</v>
      </c>
      <c r="M51" s="31" t="s">
        <v>49</v>
      </c>
      <c r="N51" s="57"/>
    </row>
    <row r="52" spans="1:14" hidden="1" x14ac:dyDescent="0.25">
      <c r="A52" s="70"/>
      <c r="B52" s="70"/>
      <c r="C52" s="71"/>
      <c r="D52" s="72"/>
      <c r="E52" s="71"/>
      <c r="F52" s="70"/>
      <c r="G52" s="71"/>
      <c r="H52" s="70"/>
      <c r="I52" s="70"/>
      <c r="J52" s="61" t="str">
        <f>IF(H52&lt;&gt;"",H52*I52,"")</f>
        <v/>
      </c>
      <c r="K52" s="80"/>
      <c r="L52" s="30" t="s">
        <v>22</v>
      </c>
      <c r="M52" s="31" t="s">
        <v>49</v>
      </c>
      <c r="N52" s="57"/>
    </row>
    <row r="53" spans="1:14" ht="15.75" thickBot="1" x14ac:dyDescent="0.3">
      <c r="A53" s="85"/>
      <c r="B53" s="86"/>
      <c r="C53" s="86"/>
      <c r="D53" s="86"/>
      <c r="E53" s="87" t="s">
        <v>46</v>
      </c>
      <c r="F53" s="88"/>
      <c r="G53" s="89"/>
      <c r="H53" s="90">
        <f>H47+H41</f>
        <v>1.0009999999999999</v>
      </c>
      <c r="I53" s="91">
        <f>H53*10</f>
        <v>10.009999999999998</v>
      </c>
      <c r="J53" s="92">
        <f>SUM(J48:J52,J42:J46)</f>
        <v>10</v>
      </c>
      <c r="K53" s="93">
        <f>J53/I53</f>
        <v>0.99900099900099915</v>
      </c>
      <c r="L53" s="30" t="s">
        <v>47</v>
      </c>
      <c r="M53" s="31" t="s">
        <v>49</v>
      </c>
      <c r="N53" s="31"/>
    </row>
    <row r="54" spans="1:14" ht="16.5" thickTop="1" thickBot="1" x14ac:dyDescent="0.3">
      <c r="A54" s="104"/>
      <c r="B54" s="95"/>
      <c r="C54" s="95"/>
      <c r="D54" s="95"/>
      <c r="E54" s="135">
        <f>E39+1</f>
        <v>46030</v>
      </c>
      <c r="F54" s="136"/>
      <c r="G54" s="105"/>
      <c r="H54" s="94"/>
      <c r="I54" s="95"/>
      <c r="J54" s="96"/>
      <c r="K54" s="97"/>
      <c r="L54" s="30" t="s">
        <v>35</v>
      </c>
      <c r="M54" s="31" t="s">
        <v>50</v>
      </c>
      <c r="N54" s="31"/>
    </row>
    <row r="55" spans="1:14" ht="46.5" thickTop="1" thickBot="1" x14ac:dyDescent="0.3">
      <c r="A55" s="98" t="s">
        <v>37</v>
      </c>
      <c r="B55" s="99" t="s">
        <v>38</v>
      </c>
      <c r="C55" s="99" t="s">
        <v>4</v>
      </c>
      <c r="D55" s="99" t="s">
        <v>5</v>
      </c>
      <c r="E55" s="47" t="s">
        <v>39</v>
      </c>
      <c r="F55" s="99" t="s">
        <v>7</v>
      </c>
      <c r="G55" s="100" t="s">
        <v>8</v>
      </c>
      <c r="H55" s="99" t="s">
        <v>40</v>
      </c>
      <c r="I55" s="99" t="s">
        <v>10</v>
      </c>
      <c r="J55" s="101" t="s">
        <v>41</v>
      </c>
      <c r="K55" s="102" t="s">
        <v>42</v>
      </c>
      <c r="L55" s="30" t="s">
        <v>43</v>
      </c>
      <c r="M55" s="31" t="s">
        <v>50</v>
      </c>
      <c r="N55" s="31"/>
    </row>
    <row r="56" spans="1:14" ht="15.75" thickTop="1" x14ac:dyDescent="0.25">
      <c r="A56" s="51"/>
      <c r="B56" s="52"/>
      <c r="C56" s="51"/>
      <c r="D56" s="52"/>
      <c r="E56" s="53" t="s">
        <v>44</v>
      </c>
      <c r="F56" s="52"/>
      <c r="G56" s="51"/>
      <c r="H56" s="106">
        <v>1</v>
      </c>
      <c r="I56" s="54">
        <f>H56*10</f>
        <v>10</v>
      </c>
      <c r="J56" s="55">
        <f>SUM(J57:J61)/I56</f>
        <v>1</v>
      </c>
      <c r="K56" s="56" t="str">
        <f>SUM(J57:J61)&amp;" "&amp;"Hrs"&amp;" "&amp;"GRUPO 1"</f>
        <v>10 Hrs GRUPO 1</v>
      </c>
      <c r="L56" s="30" t="s">
        <v>19</v>
      </c>
      <c r="M56" s="31" t="s">
        <v>50</v>
      </c>
      <c r="N56" s="57"/>
    </row>
    <row r="57" spans="1:14" x14ac:dyDescent="0.25">
      <c r="A57" s="58">
        <v>890460</v>
      </c>
      <c r="B57" s="12" t="s">
        <v>117</v>
      </c>
      <c r="C57" s="59" t="s">
        <v>118</v>
      </c>
      <c r="D57" s="12">
        <v>3</v>
      </c>
      <c r="E57" s="18" t="s">
        <v>111</v>
      </c>
      <c r="F57" s="58" t="s">
        <v>112</v>
      </c>
      <c r="G57" s="60" t="s">
        <v>113</v>
      </c>
      <c r="H57" s="12">
        <v>1</v>
      </c>
      <c r="I57" s="12">
        <v>5</v>
      </c>
      <c r="J57" s="61">
        <f>IF(H57&lt;&gt;"",H57*I57,"")</f>
        <v>5</v>
      </c>
      <c r="K57" s="62"/>
      <c r="L57" s="30" t="s">
        <v>19</v>
      </c>
      <c r="M57" s="31" t="s">
        <v>50</v>
      </c>
      <c r="N57" s="57"/>
    </row>
    <row r="58" spans="1:14" x14ac:dyDescent="0.25">
      <c r="A58" s="12">
        <v>908249</v>
      </c>
      <c r="B58" s="12" t="s">
        <v>127</v>
      </c>
      <c r="C58" s="59" t="s">
        <v>128</v>
      </c>
      <c r="D58" s="12">
        <v>4</v>
      </c>
      <c r="E58" s="18" t="s">
        <v>104</v>
      </c>
      <c r="F58" s="12" t="s">
        <v>131</v>
      </c>
      <c r="G58" s="81" t="s">
        <v>132</v>
      </c>
      <c r="H58" s="12">
        <v>1</v>
      </c>
      <c r="I58" s="12">
        <v>5</v>
      </c>
      <c r="J58" s="61">
        <f>IF(H58&lt;&gt;"",H58*I58,"")</f>
        <v>5</v>
      </c>
      <c r="K58" s="62"/>
      <c r="L58" s="30" t="s">
        <v>19</v>
      </c>
      <c r="M58" s="31" t="s">
        <v>50</v>
      </c>
      <c r="N58" s="57"/>
    </row>
    <row r="59" spans="1:14" hidden="1" x14ac:dyDescent="0.25">
      <c r="A59" s="77"/>
      <c r="B59" s="78"/>
      <c r="C59" s="79"/>
      <c r="D59" s="12"/>
      <c r="E59" s="19"/>
      <c r="F59" s="12"/>
      <c r="G59" s="19"/>
      <c r="H59" s="12"/>
      <c r="I59" s="12"/>
      <c r="J59" s="61" t="str">
        <f>IF(H59&lt;&gt;"",H59*I59,"")</f>
        <v/>
      </c>
      <c r="K59" s="62"/>
      <c r="L59" s="30" t="s">
        <v>19</v>
      </c>
      <c r="M59" s="31" t="s">
        <v>50</v>
      </c>
      <c r="N59" s="57"/>
    </row>
    <row r="60" spans="1:14" hidden="1" x14ac:dyDescent="0.25">
      <c r="A60" s="77"/>
      <c r="B60" s="78"/>
      <c r="C60" s="79"/>
      <c r="D60" s="12"/>
      <c r="E60" s="19"/>
      <c r="F60" s="12"/>
      <c r="G60" s="19"/>
      <c r="H60" s="12"/>
      <c r="I60" s="12"/>
      <c r="J60" s="61" t="str">
        <f>IF(H60&lt;&gt;"",H60*I60,"")</f>
        <v/>
      </c>
      <c r="K60" s="62"/>
      <c r="L60" s="30" t="s">
        <v>19</v>
      </c>
      <c r="M60" s="31" t="s">
        <v>50</v>
      </c>
      <c r="N60" s="57"/>
    </row>
    <row r="61" spans="1:14" hidden="1" x14ac:dyDescent="0.25">
      <c r="A61" s="77"/>
      <c r="B61" s="12"/>
      <c r="C61" s="59"/>
      <c r="D61" s="12"/>
      <c r="E61" s="19"/>
      <c r="F61" s="12"/>
      <c r="G61" s="19"/>
      <c r="H61" s="12"/>
      <c r="I61" s="12"/>
      <c r="J61" s="61" t="str">
        <f>IF(H61&lt;&gt;"",H61*I61,"")</f>
        <v/>
      </c>
      <c r="K61" s="62"/>
      <c r="L61" s="30" t="s">
        <v>19</v>
      </c>
      <c r="M61" s="31" t="s">
        <v>50</v>
      </c>
      <c r="N61" s="57"/>
    </row>
    <row r="62" spans="1:14" hidden="1" x14ac:dyDescent="0.25">
      <c r="A62" s="73"/>
      <c r="B62" s="74"/>
      <c r="C62" s="74"/>
      <c r="D62" s="52"/>
      <c r="E62" s="53" t="s">
        <v>45</v>
      </c>
      <c r="F62" s="52"/>
      <c r="G62" s="75"/>
      <c r="H62" s="76">
        <v>1E-3</v>
      </c>
      <c r="I62" s="54">
        <f>H62*10</f>
        <v>0.01</v>
      </c>
      <c r="J62" s="55">
        <f>SUM(J63:J67)/I62</f>
        <v>0</v>
      </c>
      <c r="K62" s="56" t="str">
        <f>SUM(J63:J67)&amp;" "&amp;"Hrs"&amp;" "&amp;"GRUPO 2"</f>
        <v>0 Hrs GRUPO 2</v>
      </c>
      <c r="L62" s="30" t="s">
        <v>22</v>
      </c>
      <c r="M62" s="31" t="s">
        <v>50</v>
      </c>
      <c r="N62" s="57"/>
    </row>
    <row r="63" spans="1:14" hidden="1" x14ac:dyDescent="0.25">
      <c r="A63" s="58"/>
      <c r="B63" s="12"/>
      <c r="C63" s="59"/>
      <c r="D63" s="12"/>
      <c r="E63" s="18"/>
      <c r="F63" s="58"/>
      <c r="G63" s="60"/>
      <c r="H63" s="58"/>
      <c r="I63" s="58"/>
      <c r="J63" s="61" t="str">
        <f>IF(H63&lt;&gt;"",H63*I63,"")</f>
        <v/>
      </c>
      <c r="K63" s="80"/>
      <c r="L63" s="30" t="s">
        <v>22</v>
      </c>
      <c r="M63" s="31" t="s">
        <v>50</v>
      </c>
      <c r="N63" s="57"/>
    </row>
    <row r="64" spans="1:14" hidden="1" x14ac:dyDescent="0.25">
      <c r="A64" s="77"/>
      <c r="B64" s="78"/>
      <c r="C64" s="79"/>
      <c r="D64" s="12"/>
      <c r="E64" s="19"/>
      <c r="F64" s="12"/>
      <c r="G64" s="19"/>
      <c r="H64" s="12"/>
      <c r="I64" s="12"/>
      <c r="J64" s="61" t="str">
        <f>IF(H64&lt;&gt;"",H64*I64,"")</f>
        <v/>
      </c>
      <c r="K64" s="80"/>
      <c r="L64" s="30" t="s">
        <v>22</v>
      </c>
      <c r="M64" s="31" t="s">
        <v>50</v>
      </c>
      <c r="N64" s="57"/>
    </row>
    <row r="65" spans="1:14" hidden="1" x14ac:dyDescent="0.25">
      <c r="A65" s="77"/>
      <c r="B65" s="78"/>
      <c r="C65" s="79"/>
      <c r="D65" s="12"/>
      <c r="E65" s="19"/>
      <c r="F65" s="12"/>
      <c r="G65" s="19"/>
      <c r="H65" s="12"/>
      <c r="I65" s="12"/>
      <c r="J65" s="61" t="str">
        <f>IF(H65&lt;&gt;"",H65*I65,"")</f>
        <v/>
      </c>
      <c r="K65" s="80"/>
      <c r="L65" s="30" t="s">
        <v>22</v>
      </c>
      <c r="M65" s="31" t="s">
        <v>50</v>
      </c>
      <c r="N65" s="57"/>
    </row>
    <row r="66" spans="1:14" hidden="1" x14ac:dyDescent="0.25">
      <c r="A66" s="77"/>
      <c r="B66" s="78"/>
      <c r="C66" s="79"/>
      <c r="D66" s="12"/>
      <c r="E66" s="19"/>
      <c r="F66" s="12"/>
      <c r="G66" s="19"/>
      <c r="H66" s="12"/>
      <c r="I66" s="12"/>
      <c r="J66" s="61" t="str">
        <f>IF(H66&lt;&gt;"",H66*I66,"")</f>
        <v/>
      </c>
      <c r="K66" s="80"/>
      <c r="L66" s="30" t="s">
        <v>22</v>
      </c>
      <c r="M66" s="31" t="s">
        <v>50</v>
      </c>
      <c r="N66" s="57"/>
    </row>
    <row r="67" spans="1:14" hidden="1" x14ac:dyDescent="0.25">
      <c r="A67" s="107"/>
      <c r="B67" s="107"/>
      <c r="C67" s="107"/>
      <c r="D67" s="108"/>
      <c r="E67" s="109"/>
      <c r="F67" s="107"/>
      <c r="G67" s="107"/>
      <c r="H67" s="107"/>
      <c r="I67" s="107"/>
      <c r="J67" s="61" t="str">
        <f>IF(H67&lt;&gt;"",H67*I67,"")</f>
        <v/>
      </c>
      <c r="K67" s="80"/>
      <c r="L67" s="30" t="s">
        <v>22</v>
      </c>
      <c r="M67" s="31" t="s">
        <v>50</v>
      </c>
      <c r="N67" s="57"/>
    </row>
    <row r="68" spans="1:14" ht="15.75" thickBot="1" x14ac:dyDescent="0.3">
      <c r="A68" s="85"/>
      <c r="B68" s="86"/>
      <c r="C68" s="86"/>
      <c r="D68" s="86"/>
      <c r="E68" s="87" t="s">
        <v>46</v>
      </c>
      <c r="F68" s="88"/>
      <c r="G68" s="89"/>
      <c r="H68" s="90">
        <f>H62+H56</f>
        <v>1.0009999999999999</v>
      </c>
      <c r="I68" s="91">
        <f>H68*10</f>
        <v>10.009999999999998</v>
      </c>
      <c r="J68" s="92">
        <f>SUM(J63:J67,J57:J61)</f>
        <v>10</v>
      </c>
      <c r="K68" s="93">
        <f>J68/I68</f>
        <v>0.99900099900099915</v>
      </c>
      <c r="L68" s="30" t="s">
        <v>47</v>
      </c>
      <c r="M68" s="31" t="s">
        <v>50</v>
      </c>
      <c r="N68" s="31"/>
    </row>
    <row r="69" spans="1:14" ht="16.5" thickTop="1" thickBot="1" x14ac:dyDescent="0.3">
      <c r="A69" s="104"/>
      <c r="B69" s="95"/>
      <c r="C69" s="95"/>
      <c r="D69" s="95"/>
      <c r="E69" s="135">
        <f>E54+1</f>
        <v>46031</v>
      </c>
      <c r="F69" s="136"/>
      <c r="G69" s="105"/>
      <c r="H69" s="94"/>
      <c r="I69" s="95"/>
      <c r="J69" s="96"/>
      <c r="K69" s="97"/>
      <c r="L69" s="30" t="s">
        <v>35</v>
      </c>
      <c r="M69" s="31" t="s">
        <v>51</v>
      </c>
      <c r="N69" s="31"/>
    </row>
    <row r="70" spans="1:14" ht="46.5" thickTop="1" thickBot="1" x14ac:dyDescent="0.3">
      <c r="A70" s="98" t="s">
        <v>37</v>
      </c>
      <c r="B70" s="99" t="s">
        <v>38</v>
      </c>
      <c r="C70" s="99" t="s">
        <v>4</v>
      </c>
      <c r="D70" s="99" t="s">
        <v>5</v>
      </c>
      <c r="E70" s="47" t="s">
        <v>39</v>
      </c>
      <c r="F70" s="99" t="s">
        <v>7</v>
      </c>
      <c r="G70" s="100" t="s">
        <v>8</v>
      </c>
      <c r="H70" s="99" t="s">
        <v>40</v>
      </c>
      <c r="I70" s="99" t="s">
        <v>10</v>
      </c>
      <c r="J70" s="101" t="s">
        <v>41</v>
      </c>
      <c r="K70" s="102" t="s">
        <v>42</v>
      </c>
      <c r="L70" s="30" t="s">
        <v>43</v>
      </c>
      <c r="M70" s="31" t="s">
        <v>51</v>
      </c>
      <c r="N70" s="31"/>
    </row>
    <row r="71" spans="1:14" ht="15.75" thickTop="1" x14ac:dyDescent="0.25">
      <c r="A71" s="51"/>
      <c r="B71" s="52"/>
      <c r="C71" s="51"/>
      <c r="D71" s="52"/>
      <c r="E71" s="53" t="s">
        <v>44</v>
      </c>
      <c r="F71" s="52"/>
      <c r="G71" s="51"/>
      <c r="H71" s="54">
        <v>1</v>
      </c>
      <c r="I71" s="54">
        <f>H71*10</f>
        <v>10</v>
      </c>
      <c r="J71" s="55">
        <f>SUM(J72:J76)/I71</f>
        <v>1</v>
      </c>
      <c r="K71" s="56" t="str">
        <f>SUM(J72:J76)&amp;" "&amp;"Hrs"&amp;" "&amp;"GRUPO 1"</f>
        <v>10 Hrs GRUPO 1</v>
      </c>
      <c r="L71" s="30" t="s">
        <v>19</v>
      </c>
      <c r="M71" s="31" t="s">
        <v>51</v>
      </c>
      <c r="N71" s="57"/>
    </row>
    <row r="72" spans="1:14" x14ac:dyDescent="0.25">
      <c r="A72" s="58">
        <v>921963</v>
      </c>
      <c r="B72" s="12" t="s">
        <v>127</v>
      </c>
      <c r="C72" s="59" t="s">
        <v>128</v>
      </c>
      <c r="D72" s="12">
        <v>3</v>
      </c>
      <c r="E72" s="18" t="s">
        <v>124</v>
      </c>
      <c r="F72" s="58" t="s">
        <v>125</v>
      </c>
      <c r="G72" s="60" t="s">
        <v>126</v>
      </c>
      <c r="H72" s="12">
        <v>1</v>
      </c>
      <c r="I72" s="12">
        <v>5</v>
      </c>
      <c r="J72" s="61">
        <f>IF(H72&lt;&gt;"",H72*I72,"")</f>
        <v>5</v>
      </c>
      <c r="K72" s="62"/>
      <c r="L72" s="30" t="s">
        <v>19</v>
      </c>
      <c r="M72" s="31" t="s">
        <v>51</v>
      </c>
      <c r="N72" s="57"/>
    </row>
    <row r="73" spans="1:14" x14ac:dyDescent="0.25">
      <c r="A73" s="58">
        <v>890532</v>
      </c>
      <c r="B73" s="12" t="s">
        <v>117</v>
      </c>
      <c r="C73" s="59" t="s">
        <v>118</v>
      </c>
      <c r="D73" s="12">
        <v>3</v>
      </c>
      <c r="E73" s="18" t="s">
        <v>114</v>
      </c>
      <c r="F73" s="58" t="s">
        <v>115</v>
      </c>
      <c r="G73" s="60" t="s">
        <v>116</v>
      </c>
      <c r="H73" s="12">
        <v>1</v>
      </c>
      <c r="I73" s="12">
        <v>5</v>
      </c>
      <c r="J73" s="61">
        <f>IF(H73&lt;&gt;"",H73*I73,"")</f>
        <v>5</v>
      </c>
      <c r="K73" s="62"/>
      <c r="L73" s="30" t="s">
        <v>19</v>
      </c>
      <c r="M73" s="31" t="s">
        <v>51</v>
      </c>
      <c r="N73" s="57"/>
    </row>
    <row r="74" spans="1:14" hidden="1" x14ac:dyDescent="0.25">
      <c r="A74" s="58"/>
      <c r="B74" s="12"/>
      <c r="C74" s="59"/>
      <c r="D74" s="12"/>
      <c r="E74" s="18"/>
      <c r="F74" s="58"/>
      <c r="G74" s="60"/>
      <c r="H74" s="12"/>
      <c r="I74" s="12"/>
      <c r="J74" s="61" t="str">
        <f>IF(H74&lt;&gt;"",H74*I74,"")</f>
        <v/>
      </c>
      <c r="K74" s="62"/>
      <c r="L74" s="30" t="s">
        <v>19</v>
      </c>
      <c r="M74" s="31" t="s">
        <v>51</v>
      </c>
      <c r="N74" s="57"/>
    </row>
    <row r="75" spans="1:14" hidden="1" x14ac:dyDescent="0.25">
      <c r="A75" s="12"/>
      <c r="B75" s="78"/>
      <c r="C75" s="82"/>
      <c r="D75" s="12"/>
      <c r="E75" s="19"/>
      <c r="F75" s="12"/>
      <c r="G75" s="19"/>
      <c r="H75" s="12"/>
      <c r="I75" s="12"/>
      <c r="J75" s="61" t="str">
        <f>IF(H75&lt;&gt;"",H75*I75,"")</f>
        <v/>
      </c>
      <c r="K75" s="62"/>
      <c r="L75" s="30" t="s">
        <v>19</v>
      </c>
      <c r="M75" s="31" t="s">
        <v>51</v>
      </c>
      <c r="N75" s="57"/>
    </row>
    <row r="76" spans="1:14" hidden="1" x14ac:dyDescent="0.25">
      <c r="A76" s="83"/>
      <c r="B76" s="70"/>
      <c r="C76" s="84"/>
      <c r="D76" s="72"/>
      <c r="E76" s="71"/>
      <c r="F76" s="72"/>
      <c r="G76" s="71"/>
      <c r="H76" s="72"/>
      <c r="I76" s="72"/>
      <c r="J76" s="61" t="str">
        <f>IF(H76&lt;&gt;"",H76*I76,"")</f>
        <v/>
      </c>
      <c r="K76" s="62"/>
      <c r="L76" s="30" t="s">
        <v>19</v>
      </c>
      <c r="M76" s="31" t="s">
        <v>51</v>
      </c>
      <c r="N76" s="57"/>
    </row>
    <row r="77" spans="1:14" hidden="1" x14ac:dyDescent="0.25">
      <c r="A77" s="73"/>
      <c r="B77" s="74"/>
      <c r="C77" s="74"/>
      <c r="D77" s="52"/>
      <c r="E77" s="53" t="s">
        <v>45</v>
      </c>
      <c r="F77" s="52"/>
      <c r="G77" s="75"/>
      <c r="H77" s="76">
        <v>1E-3</v>
      </c>
      <c r="I77" s="54">
        <f>H77*10</f>
        <v>0.01</v>
      </c>
      <c r="J77" s="55">
        <f>SUM(J78:J82)/I77</f>
        <v>0</v>
      </c>
      <c r="K77" s="56" t="str">
        <f>SUM(J78:J82)&amp;" "&amp;"Hrs"&amp;" "&amp;"GRUPO 2"</f>
        <v>0 Hrs GRUPO 2</v>
      </c>
      <c r="L77" s="30" t="s">
        <v>22</v>
      </c>
      <c r="M77" s="31" t="s">
        <v>51</v>
      </c>
      <c r="N77" s="57"/>
    </row>
    <row r="78" spans="1:14" hidden="1" x14ac:dyDescent="0.25">
      <c r="A78" s="77"/>
      <c r="B78" s="78"/>
      <c r="C78" s="79"/>
      <c r="D78" s="12"/>
      <c r="E78" s="19"/>
      <c r="F78" s="12"/>
      <c r="G78" s="19"/>
      <c r="H78" s="12"/>
      <c r="I78" s="12"/>
      <c r="J78" s="61" t="str">
        <f>IF(H78&lt;&gt;"",H78*I78,"")</f>
        <v/>
      </c>
      <c r="K78" s="80"/>
      <c r="L78" s="30" t="s">
        <v>22</v>
      </c>
      <c r="M78" s="31" t="s">
        <v>51</v>
      </c>
      <c r="N78" s="110"/>
    </row>
    <row r="79" spans="1:14" hidden="1" x14ac:dyDescent="0.25">
      <c r="A79" s="77"/>
      <c r="B79" s="78"/>
      <c r="C79" s="79"/>
      <c r="D79" s="12"/>
      <c r="E79" s="19"/>
      <c r="F79" s="12"/>
      <c r="G79" s="19"/>
      <c r="H79" s="12"/>
      <c r="I79" s="12"/>
      <c r="J79" s="61" t="str">
        <f>IF(H79&lt;&gt;"",H79*I79,"")</f>
        <v/>
      </c>
      <c r="K79" s="80"/>
      <c r="L79" s="30" t="s">
        <v>22</v>
      </c>
      <c r="M79" s="31" t="s">
        <v>51</v>
      </c>
      <c r="N79" s="110"/>
    </row>
    <row r="80" spans="1:14" hidden="1" x14ac:dyDescent="0.25">
      <c r="A80" s="77"/>
      <c r="B80" s="78"/>
      <c r="C80" s="79"/>
      <c r="D80" s="12"/>
      <c r="E80" s="19"/>
      <c r="F80" s="12"/>
      <c r="G80" s="19"/>
      <c r="H80" s="12"/>
      <c r="I80" s="12"/>
      <c r="J80" s="61" t="str">
        <f>IF(H80&lt;&gt;"",H80*I80,"")</f>
        <v/>
      </c>
      <c r="K80" s="80"/>
      <c r="L80" s="30" t="s">
        <v>22</v>
      </c>
      <c r="M80" s="31" t="s">
        <v>51</v>
      </c>
      <c r="N80" s="57"/>
    </row>
    <row r="81" spans="1:14" hidden="1" x14ac:dyDescent="0.25">
      <c r="A81" s="77"/>
      <c r="B81" s="78"/>
      <c r="C81" s="79"/>
      <c r="D81" s="12"/>
      <c r="E81" s="19"/>
      <c r="F81" s="12"/>
      <c r="G81" s="19"/>
      <c r="H81" s="12"/>
      <c r="I81" s="12"/>
      <c r="J81" s="61" t="str">
        <f>IF(H81&lt;&gt;"",H81*I81,"")</f>
        <v/>
      </c>
      <c r="K81" s="80"/>
      <c r="L81" s="30" t="s">
        <v>22</v>
      </c>
      <c r="M81" s="31" t="s">
        <v>51</v>
      </c>
      <c r="N81" s="57"/>
    </row>
    <row r="82" spans="1:14" hidden="1" x14ac:dyDescent="0.25">
      <c r="A82" s="83"/>
      <c r="B82" s="70"/>
      <c r="C82" s="111"/>
      <c r="D82" s="66"/>
      <c r="E82" s="71"/>
      <c r="F82" s="72"/>
      <c r="G82" s="71"/>
      <c r="H82" s="69"/>
      <c r="I82" s="69"/>
      <c r="J82" s="61" t="str">
        <f>IF(H82&lt;&gt;"",H82*I82,"")</f>
        <v/>
      </c>
      <c r="K82" s="80"/>
      <c r="L82" s="30" t="s">
        <v>22</v>
      </c>
      <c r="M82" s="31" t="s">
        <v>51</v>
      </c>
      <c r="N82" s="57"/>
    </row>
    <row r="83" spans="1:14" ht="15.75" thickBot="1" x14ac:dyDescent="0.3">
      <c r="A83" s="85"/>
      <c r="B83" s="86"/>
      <c r="C83" s="86"/>
      <c r="D83" s="86"/>
      <c r="E83" s="87" t="s">
        <v>46</v>
      </c>
      <c r="F83" s="88"/>
      <c r="G83" s="89"/>
      <c r="H83" s="90">
        <f>H77+H71</f>
        <v>1.0009999999999999</v>
      </c>
      <c r="I83" s="91">
        <f>H83*10</f>
        <v>10.009999999999998</v>
      </c>
      <c r="J83" s="92">
        <f>SUM(J78:J82,J72:J76)</f>
        <v>10</v>
      </c>
      <c r="K83" s="93">
        <f>J83/I83</f>
        <v>0.99900099900099915</v>
      </c>
      <c r="L83" s="30" t="s">
        <v>47</v>
      </c>
      <c r="M83" s="31" t="s">
        <v>51</v>
      </c>
      <c r="N83" s="31"/>
    </row>
    <row r="84" spans="1:14" ht="16.5" thickTop="1" thickBot="1" x14ac:dyDescent="0.3">
      <c r="A84" s="104"/>
      <c r="B84" s="95"/>
      <c r="C84" s="95"/>
      <c r="D84" s="95"/>
      <c r="E84" s="135">
        <f>E69+1</f>
        <v>46032</v>
      </c>
      <c r="F84" s="136"/>
      <c r="G84" s="105"/>
      <c r="H84" s="94"/>
      <c r="I84" s="95"/>
      <c r="J84" s="96"/>
      <c r="K84" s="97"/>
      <c r="L84" s="30" t="s">
        <v>35</v>
      </c>
      <c r="M84" s="31" t="s">
        <v>52</v>
      </c>
      <c r="N84" s="31"/>
    </row>
    <row r="85" spans="1:14" ht="46.5" thickTop="1" thickBot="1" x14ac:dyDescent="0.3">
      <c r="A85" s="98" t="s">
        <v>37</v>
      </c>
      <c r="B85" s="99" t="s">
        <v>38</v>
      </c>
      <c r="C85" s="99" t="s">
        <v>4</v>
      </c>
      <c r="D85" s="99" t="s">
        <v>5</v>
      </c>
      <c r="E85" s="47" t="s">
        <v>39</v>
      </c>
      <c r="F85" s="99" t="s">
        <v>7</v>
      </c>
      <c r="G85" s="100" t="s">
        <v>8</v>
      </c>
      <c r="H85" s="99" t="s">
        <v>40</v>
      </c>
      <c r="I85" s="99" t="s">
        <v>10</v>
      </c>
      <c r="J85" s="101" t="s">
        <v>41</v>
      </c>
      <c r="K85" s="102" t="s">
        <v>42</v>
      </c>
      <c r="L85" s="30" t="s">
        <v>43</v>
      </c>
      <c r="M85" s="31" t="s">
        <v>52</v>
      </c>
      <c r="N85" s="31"/>
    </row>
    <row r="86" spans="1:14" ht="15.75" thickTop="1" x14ac:dyDescent="0.25">
      <c r="A86" s="51"/>
      <c r="B86" s="52"/>
      <c r="C86" s="51"/>
      <c r="D86" s="52"/>
      <c r="E86" s="53" t="s">
        <v>44</v>
      </c>
      <c r="F86" s="52"/>
      <c r="G86" s="51"/>
      <c r="H86" s="54">
        <v>1</v>
      </c>
      <c r="I86" s="54">
        <f>H86*10</f>
        <v>10</v>
      </c>
      <c r="J86" s="55">
        <f>SUM(J87:J91)/I86</f>
        <v>1</v>
      </c>
      <c r="K86" s="56" t="str">
        <f>SUM(J87:J91)&amp;" "&amp;"Hrs"&amp;" "&amp;"GRUPO 1"</f>
        <v>10 Hrs GRUPO 1</v>
      </c>
      <c r="L86" s="30" t="s">
        <v>19</v>
      </c>
      <c r="M86" s="31" t="s">
        <v>52</v>
      </c>
      <c r="N86" s="57"/>
    </row>
    <row r="87" spans="1:14" x14ac:dyDescent="0.25">
      <c r="A87" s="58">
        <v>893213</v>
      </c>
      <c r="B87" s="12" t="s">
        <v>119</v>
      </c>
      <c r="C87" s="59" t="s">
        <v>120</v>
      </c>
      <c r="D87" s="12">
        <v>3</v>
      </c>
      <c r="E87" s="18" t="s">
        <v>121</v>
      </c>
      <c r="F87" s="58" t="s">
        <v>122</v>
      </c>
      <c r="G87" s="60" t="s">
        <v>123</v>
      </c>
      <c r="H87" s="12">
        <v>1</v>
      </c>
      <c r="I87" s="12">
        <v>5</v>
      </c>
      <c r="J87" s="61">
        <f>IF(H87&lt;&gt;"",H87*I87,"")</f>
        <v>5</v>
      </c>
      <c r="K87" s="62"/>
      <c r="L87" s="30" t="s">
        <v>19</v>
      </c>
      <c r="M87" s="31" t="s">
        <v>52</v>
      </c>
      <c r="N87" s="57"/>
    </row>
    <row r="88" spans="1:14" x14ac:dyDescent="0.25">
      <c r="A88" s="58">
        <v>890532</v>
      </c>
      <c r="B88" s="12" t="s">
        <v>117</v>
      </c>
      <c r="C88" s="59" t="s">
        <v>118</v>
      </c>
      <c r="D88" s="12">
        <v>3</v>
      </c>
      <c r="E88" s="18" t="s">
        <v>114</v>
      </c>
      <c r="F88" s="58" t="s">
        <v>115</v>
      </c>
      <c r="G88" s="60" t="s">
        <v>116</v>
      </c>
      <c r="H88" s="12">
        <v>1</v>
      </c>
      <c r="I88" s="12">
        <v>5</v>
      </c>
      <c r="J88" s="61">
        <f>IF(H88&lt;&gt;"",H88*I88,"")</f>
        <v>5</v>
      </c>
      <c r="K88" s="62"/>
      <c r="L88" s="30" t="s">
        <v>19</v>
      </c>
      <c r="M88" s="31" t="s">
        <v>52</v>
      </c>
      <c r="N88" s="57"/>
    </row>
    <row r="89" spans="1:14" hidden="1" x14ac:dyDescent="0.25">
      <c r="A89" s="77"/>
      <c r="B89" s="12"/>
      <c r="C89" s="59"/>
      <c r="D89" s="12"/>
      <c r="E89" s="19"/>
      <c r="F89" s="12"/>
      <c r="G89" s="19"/>
      <c r="H89" s="12"/>
      <c r="I89" s="12"/>
      <c r="J89" s="61" t="str">
        <f>IF(H89&lt;&gt;"",H89*I89,"")</f>
        <v/>
      </c>
      <c r="K89" s="62"/>
      <c r="L89" s="30" t="s">
        <v>19</v>
      </c>
      <c r="M89" s="31" t="s">
        <v>52</v>
      </c>
      <c r="N89" s="57"/>
    </row>
    <row r="90" spans="1:14" hidden="1" x14ac:dyDescent="0.25">
      <c r="A90" s="58"/>
      <c r="B90" s="12"/>
      <c r="C90" s="59"/>
      <c r="D90" s="12"/>
      <c r="E90" s="81"/>
      <c r="F90" s="12"/>
      <c r="G90" s="81"/>
      <c r="H90" s="12"/>
      <c r="I90" s="12"/>
      <c r="J90" s="61" t="str">
        <f>IF(H90&lt;&gt;"",H90*I90,"")</f>
        <v/>
      </c>
      <c r="K90" s="62"/>
      <c r="L90" s="30" t="s">
        <v>19</v>
      </c>
      <c r="M90" s="31" t="s">
        <v>52</v>
      </c>
      <c r="N90" s="57"/>
    </row>
    <row r="91" spans="1:14" hidden="1" x14ac:dyDescent="0.25">
      <c r="A91" s="70"/>
      <c r="B91" s="70"/>
      <c r="C91" s="71"/>
      <c r="D91" s="72"/>
      <c r="E91" s="71"/>
      <c r="F91" s="72"/>
      <c r="G91" s="71"/>
      <c r="H91" s="72"/>
      <c r="I91" s="72"/>
      <c r="J91" s="61" t="str">
        <f>IF(H91&lt;&gt;"",H91*I91,"")</f>
        <v/>
      </c>
      <c r="K91" s="62"/>
      <c r="L91" s="30" t="s">
        <v>19</v>
      </c>
      <c r="M91" s="31" t="s">
        <v>52</v>
      </c>
      <c r="N91" s="57"/>
    </row>
    <row r="92" spans="1:14" hidden="1" x14ac:dyDescent="0.25">
      <c r="A92" s="73"/>
      <c r="B92" s="74"/>
      <c r="C92" s="74"/>
      <c r="D92" s="52"/>
      <c r="E92" s="53" t="s">
        <v>45</v>
      </c>
      <c r="F92" s="52"/>
      <c r="G92" s="75"/>
      <c r="H92" s="76">
        <v>1E-3</v>
      </c>
      <c r="I92" s="54">
        <f>H92*10</f>
        <v>0.01</v>
      </c>
      <c r="J92" s="55">
        <f>SUM(J93:J97)/I92</f>
        <v>0</v>
      </c>
      <c r="K92" s="56" t="str">
        <f>SUM(J93:J97)&amp;" "&amp;"Hrs"&amp;" "&amp;"GRUPO 2"</f>
        <v>0 Hrs GRUPO 2</v>
      </c>
      <c r="L92" s="30" t="s">
        <v>22</v>
      </c>
      <c r="M92" s="31" t="s">
        <v>52</v>
      </c>
      <c r="N92" s="57"/>
    </row>
    <row r="93" spans="1:14" hidden="1" x14ac:dyDescent="0.25">
      <c r="A93" s="58"/>
      <c r="B93" s="12"/>
      <c r="C93" s="59"/>
      <c r="D93" s="12"/>
      <c r="E93" s="18"/>
      <c r="F93" s="58"/>
      <c r="G93" s="60"/>
      <c r="H93" s="12"/>
      <c r="I93" s="12"/>
      <c r="J93" s="61" t="str">
        <f>IF(H93&lt;&gt;"",H93*I93,"")</f>
        <v/>
      </c>
      <c r="K93" s="80"/>
      <c r="L93" s="30" t="s">
        <v>22</v>
      </c>
      <c r="M93" s="31" t="s">
        <v>52</v>
      </c>
      <c r="N93" s="57"/>
    </row>
    <row r="94" spans="1:14" hidden="1" x14ac:dyDescent="0.25">
      <c r="A94" s="58"/>
      <c r="B94" s="12"/>
      <c r="C94" s="59"/>
      <c r="D94" s="12"/>
      <c r="E94" s="18"/>
      <c r="F94" s="12"/>
      <c r="G94" s="81"/>
      <c r="H94" s="12"/>
      <c r="I94" s="12"/>
      <c r="J94" s="61" t="str">
        <f>IF(H94&lt;&gt;"",H94*I94,"")</f>
        <v/>
      </c>
      <c r="K94" s="80"/>
      <c r="L94" s="30" t="s">
        <v>22</v>
      </c>
      <c r="M94" s="31" t="s">
        <v>52</v>
      </c>
      <c r="N94" s="57"/>
    </row>
    <row r="95" spans="1:14" hidden="1" x14ac:dyDescent="0.25">
      <c r="A95" s="12"/>
      <c r="B95" s="78"/>
      <c r="C95" s="82"/>
      <c r="D95" s="12"/>
      <c r="E95" s="19"/>
      <c r="F95" s="12"/>
      <c r="G95" s="19"/>
      <c r="H95" s="12"/>
      <c r="I95" s="12"/>
      <c r="J95" s="61" t="str">
        <f>IF(H95&lt;&gt;"",H95*I95,"")</f>
        <v/>
      </c>
      <c r="K95" s="80"/>
      <c r="L95" s="30" t="s">
        <v>22</v>
      </c>
      <c r="M95" s="31" t="s">
        <v>52</v>
      </c>
      <c r="N95" s="57"/>
    </row>
    <row r="96" spans="1:14" hidden="1" x14ac:dyDescent="0.25">
      <c r="A96" s="12"/>
      <c r="B96" s="78"/>
      <c r="C96" s="82"/>
      <c r="D96" s="12"/>
      <c r="E96" s="19"/>
      <c r="F96" s="12"/>
      <c r="G96" s="19"/>
      <c r="H96" s="12"/>
      <c r="I96" s="12"/>
      <c r="J96" s="61" t="str">
        <f>IF(H96&lt;&gt;"",H96*I96,"")</f>
        <v/>
      </c>
      <c r="K96" s="80"/>
      <c r="L96" s="30" t="s">
        <v>22</v>
      </c>
      <c r="M96" s="31" t="s">
        <v>52</v>
      </c>
      <c r="N96" s="57"/>
    </row>
    <row r="97" spans="1:14" hidden="1" x14ac:dyDescent="0.25">
      <c r="A97" s="112"/>
      <c r="B97" s="83"/>
      <c r="C97" s="111"/>
      <c r="D97" s="113"/>
      <c r="E97" s="71"/>
      <c r="F97" s="68"/>
      <c r="G97" s="67"/>
      <c r="H97" s="114"/>
      <c r="I97" s="114"/>
      <c r="J97" s="61" t="str">
        <f>IF(H97&lt;&gt;"",H97*I97,"")</f>
        <v/>
      </c>
      <c r="K97" s="80"/>
      <c r="L97" s="30" t="s">
        <v>22</v>
      </c>
      <c r="M97" s="31" t="s">
        <v>52</v>
      </c>
      <c r="N97" s="57"/>
    </row>
    <row r="98" spans="1:14" ht="15.75" thickBot="1" x14ac:dyDescent="0.3">
      <c r="A98" s="85"/>
      <c r="B98" s="86"/>
      <c r="C98" s="86"/>
      <c r="D98" s="86"/>
      <c r="E98" s="87" t="s">
        <v>46</v>
      </c>
      <c r="F98" s="88"/>
      <c r="G98" s="89"/>
      <c r="H98" s="90">
        <f>H92+H86</f>
        <v>1.0009999999999999</v>
      </c>
      <c r="I98" s="91">
        <f>H98*10</f>
        <v>10.009999999999998</v>
      </c>
      <c r="J98" s="92">
        <f>SUM(J87:J91)</f>
        <v>10</v>
      </c>
      <c r="K98" s="93">
        <f>J98/I98</f>
        <v>0.99900099900099915</v>
      </c>
      <c r="L98" s="30" t="s">
        <v>47</v>
      </c>
      <c r="M98" s="31" t="s">
        <v>52</v>
      </c>
      <c r="N98" s="31"/>
    </row>
    <row r="99" spans="1:14" ht="16.5" thickTop="1" thickBot="1" x14ac:dyDescent="0.3">
      <c r="A99" s="104"/>
      <c r="B99" s="95"/>
      <c r="C99" s="95"/>
      <c r="D99" s="95"/>
      <c r="E99" s="135">
        <f>E84+1</f>
        <v>46033</v>
      </c>
      <c r="F99" s="136"/>
      <c r="G99" s="105"/>
      <c r="H99" s="94"/>
      <c r="I99" s="95"/>
      <c r="J99" s="96"/>
      <c r="K99" s="97"/>
      <c r="L99" s="30" t="s">
        <v>35</v>
      </c>
      <c r="M99" s="31" t="s">
        <v>53</v>
      </c>
      <c r="N99" s="31"/>
    </row>
    <row r="100" spans="1:14" ht="46.5" thickTop="1" thickBot="1" x14ac:dyDescent="0.3">
      <c r="A100" s="98" t="s">
        <v>37</v>
      </c>
      <c r="B100" s="99" t="s">
        <v>38</v>
      </c>
      <c r="C100" s="99" t="s">
        <v>4</v>
      </c>
      <c r="D100" s="99" t="s">
        <v>5</v>
      </c>
      <c r="E100" s="47" t="s">
        <v>39</v>
      </c>
      <c r="F100" s="99" t="s">
        <v>7</v>
      </c>
      <c r="G100" s="100" t="s">
        <v>8</v>
      </c>
      <c r="H100" s="99" t="s">
        <v>40</v>
      </c>
      <c r="I100" s="99" t="s">
        <v>10</v>
      </c>
      <c r="J100" s="101" t="s">
        <v>41</v>
      </c>
      <c r="K100" s="102" t="s">
        <v>42</v>
      </c>
      <c r="L100" s="30" t="s">
        <v>43</v>
      </c>
      <c r="M100" s="31" t="s">
        <v>53</v>
      </c>
      <c r="N100" s="31"/>
    </row>
    <row r="101" spans="1:14" ht="15.75" thickTop="1" x14ac:dyDescent="0.25">
      <c r="A101" s="51"/>
      <c r="B101" s="52"/>
      <c r="C101" s="51"/>
      <c r="D101" s="52"/>
      <c r="E101" s="53" t="s">
        <v>44</v>
      </c>
      <c r="F101" s="52"/>
      <c r="G101" s="51"/>
      <c r="H101" s="54">
        <v>1</v>
      </c>
      <c r="I101" s="54">
        <f>H101*10</f>
        <v>10</v>
      </c>
      <c r="J101" s="55">
        <f>SUM(J102:J106)/I101</f>
        <v>1</v>
      </c>
      <c r="K101" s="56" t="str">
        <f>SUM(J102:J106)&amp;" "&amp;"Hrs"&amp;" "&amp;"GRUPO 1"</f>
        <v>10 Hrs GRUPO 1</v>
      </c>
      <c r="L101" s="30" t="s">
        <v>19</v>
      </c>
      <c r="M101" s="31" t="s">
        <v>53</v>
      </c>
      <c r="N101" s="57"/>
    </row>
    <row r="102" spans="1:14" x14ac:dyDescent="0.25">
      <c r="A102" s="58">
        <v>890532</v>
      </c>
      <c r="B102" s="12" t="s">
        <v>117</v>
      </c>
      <c r="C102" s="59" t="s">
        <v>118</v>
      </c>
      <c r="D102" s="12">
        <v>3</v>
      </c>
      <c r="E102" s="18" t="s">
        <v>114</v>
      </c>
      <c r="F102" s="58" t="s">
        <v>115</v>
      </c>
      <c r="G102" s="60" t="s">
        <v>116</v>
      </c>
      <c r="H102" s="12">
        <v>1</v>
      </c>
      <c r="I102" s="12">
        <v>10</v>
      </c>
      <c r="J102" s="61">
        <f>IF(H102&lt;&gt;"",H102*I102,"")</f>
        <v>10</v>
      </c>
      <c r="K102" s="62"/>
      <c r="L102" s="30" t="s">
        <v>19</v>
      </c>
      <c r="M102" s="31" t="s">
        <v>53</v>
      </c>
      <c r="N102" s="110"/>
    </row>
    <row r="103" spans="1:14" hidden="1" x14ac:dyDescent="0.25">
      <c r="A103" s="12"/>
      <c r="B103" s="12"/>
      <c r="C103" s="59"/>
      <c r="D103" s="12"/>
      <c r="E103" s="18"/>
      <c r="F103" s="12"/>
      <c r="G103" s="81"/>
      <c r="H103" s="12"/>
      <c r="I103" s="12"/>
      <c r="J103" s="61" t="str">
        <f>IF(H103&lt;&gt;"",H103*I103,"")</f>
        <v/>
      </c>
      <c r="K103" s="62"/>
      <c r="L103" s="30" t="s">
        <v>19</v>
      </c>
      <c r="M103" s="31" t="s">
        <v>53</v>
      </c>
      <c r="N103" s="110"/>
    </row>
    <row r="104" spans="1:14" hidden="1" x14ac:dyDescent="0.25">
      <c r="A104" s="77"/>
      <c r="B104" s="78"/>
      <c r="C104" s="79"/>
      <c r="D104" s="12"/>
      <c r="E104" s="19"/>
      <c r="F104" s="12"/>
      <c r="G104" s="19"/>
      <c r="H104" s="12"/>
      <c r="I104" s="12"/>
      <c r="J104" s="61" t="str">
        <f>IF(H104&lt;&gt;"",H104*I104,"")</f>
        <v/>
      </c>
      <c r="K104" s="62"/>
      <c r="L104" s="30" t="s">
        <v>19</v>
      </c>
      <c r="M104" s="31" t="s">
        <v>53</v>
      </c>
      <c r="N104" s="110"/>
    </row>
    <row r="105" spans="1:14" hidden="1" x14ac:dyDescent="0.25">
      <c r="A105" s="77"/>
      <c r="B105" s="78"/>
      <c r="C105" s="79"/>
      <c r="D105" s="12"/>
      <c r="E105" s="19"/>
      <c r="F105" s="12"/>
      <c r="G105" s="19"/>
      <c r="H105" s="12"/>
      <c r="I105" s="12"/>
      <c r="J105" s="61" t="str">
        <f>IF(H105&lt;&gt;"",H105*I105,"")</f>
        <v/>
      </c>
      <c r="K105" s="62"/>
      <c r="L105" s="30" t="s">
        <v>19</v>
      </c>
      <c r="M105" s="31" t="s">
        <v>53</v>
      </c>
      <c r="N105" s="110"/>
    </row>
    <row r="106" spans="1:14" hidden="1" x14ac:dyDescent="0.25">
      <c r="A106" s="77"/>
      <c r="B106" s="78"/>
      <c r="C106" s="79"/>
      <c r="D106" s="12"/>
      <c r="E106" s="19"/>
      <c r="F106" s="12"/>
      <c r="G106" s="19"/>
      <c r="H106" s="12"/>
      <c r="I106" s="12"/>
      <c r="J106" s="61" t="str">
        <f>IF(H106&lt;&gt;"",H106*I106,"")</f>
        <v/>
      </c>
      <c r="K106" s="62"/>
      <c r="L106" s="30" t="s">
        <v>19</v>
      </c>
      <c r="M106" s="31" t="s">
        <v>53</v>
      </c>
      <c r="N106" s="110"/>
    </row>
    <row r="107" spans="1:14" hidden="1" x14ac:dyDescent="0.25">
      <c r="A107" s="73"/>
      <c r="B107" s="74"/>
      <c r="C107" s="74"/>
      <c r="D107" s="52"/>
      <c r="E107" s="53" t="s">
        <v>45</v>
      </c>
      <c r="F107" s="52"/>
      <c r="G107" s="75"/>
      <c r="H107" s="76">
        <v>1E-3</v>
      </c>
      <c r="I107" s="54">
        <f>H107*10</f>
        <v>0.01</v>
      </c>
      <c r="J107" s="55">
        <f>SUM(J108:J112)/I107</f>
        <v>0</v>
      </c>
      <c r="K107" s="56" t="str">
        <f>SUM(J108:J112)&amp;" "&amp;"Hrs"&amp;" "&amp;"GRUPO 2"</f>
        <v>0 Hrs GRUPO 2</v>
      </c>
      <c r="L107" s="30" t="s">
        <v>22</v>
      </c>
      <c r="M107" s="31" t="s">
        <v>53</v>
      </c>
      <c r="N107" s="57"/>
    </row>
    <row r="108" spans="1:14" hidden="1" x14ac:dyDescent="0.25">
      <c r="A108" s="58"/>
      <c r="B108" s="12"/>
      <c r="C108" s="59"/>
      <c r="D108" s="12"/>
      <c r="E108" s="81"/>
      <c r="F108" s="12"/>
      <c r="G108" s="81"/>
      <c r="H108" s="12"/>
      <c r="I108" s="12"/>
      <c r="J108" s="61" t="str">
        <f>IF(H108&lt;&gt;"",H108*I108,"")</f>
        <v/>
      </c>
      <c r="K108" s="80"/>
      <c r="L108" s="26" t="s">
        <v>22</v>
      </c>
      <c r="M108" s="31" t="s">
        <v>53</v>
      </c>
      <c r="N108" s="110"/>
    </row>
    <row r="109" spans="1:14" hidden="1" x14ac:dyDescent="0.25">
      <c r="A109" s="58"/>
      <c r="B109" s="12"/>
      <c r="C109" s="59"/>
      <c r="D109" s="12"/>
      <c r="E109" s="18"/>
      <c r="F109" s="12"/>
      <c r="G109" s="81"/>
      <c r="H109" s="12"/>
      <c r="I109" s="12"/>
      <c r="J109" s="61" t="str">
        <f>IF(H109&lt;&gt;"",H109*I109,"")</f>
        <v/>
      </c>
      <c r="K109" s="80"/>
      <c r="L109" s="26" t="s">
        <v>22</v>
      </c>
      <c r="M109" s="31" t="s">
        <v>53</v>
      </c>
      <c r="N109" s="110"/>
    </row>
    <row r="110" spans="1:14" hidden="1" x14ac:dyDescent="0.25">
      <c r="A110" s="77"/>
      <c r="B110" s="78"/>
      <c r="C110" s="79"/>
      <c r="D110" s="12"/>
      <c r="E110" s="19"/>
      <c r="F110" s="12"/>
      <c r="G110" s="19"/>
      <c r="H110" s="12"/>
      <c r="I110" s="12"/>
      <c r="J110" s="61" t="str">
        <f>IF(H110&lt;&gt;"",H110*I110,"")</f>
        <v/>
      </c>
      <c r="K110" s="80"/>
      <c r="L110" s="26" t="s">
        <v>22</v>
      </c>
      <c r="M110" s="31" t="s">
        <v>53</v>
      </c>
      <c r="N110" s="110"/>
    </row>
    <row r="111" spans="1:14" hidden="1" x14ac:dyDescent="0.25">
      <c r="A111" s="77"/>
      <c r="B111" s="78"/>
      <c r="C111" s="79"/>
      <c r="D111" s="12"/>
      <c r="E111" s="19"/>
      <c r="F111" s="12"/>
      <c r="G111" s="19"/>
      <c r="H111" s="12"/>
      <c r="I111" s="12"/>
      <c r="J111" s="61" t="str">
        <f>IF(H111&lt;&gt;"",H111*I111,"")</f>
        <v/>
      </c>
      <c r="K111" s="80"/>
      <c r="L111" s="26" t="s">
        <v>22</v>
      </c>
      <c r="M111" s="31" t="s">
        <v>53</v>
      </c>
      <c r="N111" s="57"/>
    </row>
    <row r="112" spans="1:14" hidden="1" x14ac:dyDescent="0.25">
      <c r="A112" s="77"/>
      <c r="B112" s="78"/>
      <c r="C112" s="79"/>
      <c r="D112" s="12"/>
      <c r="E112" s="19"/>
      <c r="F112" s="12"/>
      <c r="G112" s="19"/>
      <c r="H112" s="12"/>
      <c r="I112" s="12"/>
      <c r="J112" s="61" t="str">
        <f>IF(H112&lt;&gt;"",H112*I112,"")</f>
        <v/>
      </c>
      <c r="K112" s="80"/>
      <c r="L112" s="30" t="s">
        <v>22</v>
      </c>
      <c r="M112" s="31" t="s">
        <v>53</v>
      </c>
      <c r="N112" s="57"/>
    </row>
    <row r="113" spans="1:14" ht="15.75" thickBot="1" x14ac:dyDescent="0.3">
      <c r="A113" s="115"/>
      <c r="B113" s="116"/>
      <c r="C113" s="116"/>
      <c r="D113" s="116"/>
      <c r="E113" s="117" t="s">
        <v>46</v>
      </c>
      <c r="F113" s="118"/>
      <c r="G113" s="119"/>
      <c r="H113" s="90">
        <f>H107+H101</f>
        <v>1.0009999999999999</v>
      </c>
      <c r="I113" s="92">
        <f>H113*10</f>
        <v>10.009999999999998</v>
      </c>
      <c r="J113" s="92">
        <f>SUM(J108:J112,J102:J106)</f>
        <v>10</v>
      </c>
      <c r="K113" s="93">
        <f>J113/I113</f>
        <v>0.99900099900099915</v>
      </c>
      <c r="L113" s="30" t="s">
        <v>47</v>
      </c>
      <c r="M113" s="31" t="s">
        <v>53</v>
      </c>
      <c r="N113" s="31"/>
    </row>
    <row r="114" spans="1:14" ht="15.75" thickTop="1" x14ac:dyDescent="0.25">
      <c r="A114" s="27"/>
      <c r="B114" s="27"/>
      <c r="C114" s="27"/>
      <c r="D114" s="120"/>
      <c r="E114" s="27"/>
      <c r="F114" s="24"/>
      <c r="G114" s="34"/>
      <c r="H114" s="27"/>
      <c r="I114" s="27"/>
      <c r="J114" s="28"/>
      <c r="K114" s="29"/>
      <c r="L114" s="30"/>
      <c r="M114" s="31"/>
      <c r="N114" s="31"/>
    </row>
    <row r="115" spans="1:14" x14ac:dyDescent="0.25">
      <c r="A115" s="27"/>
      <c r="B115" s="27"/>
      <c r="C115" s="27"/>
      <c r="D115" s="120"/>
      <c r="E115" s="27"/>
      <c r="F115" s="24"/>
      <c r="G115" s="34"/>
      <c r="H115" s="27"/>
      <c r="I115" s="27"/>
      <c r="J115" s="28"/>
      <c r="K115" s="29"/>
      <c r="L115" s="30"/>
      <c r="M115" s="31"/>
      <c r="N115" s="31"/>
    </row>
    <row r="116" spans="1:14" x14ac:dyDescent="0.25">
      <c r="A116" s="27"/>
      <c r="B116" s="27"/>
      <c r="C116" s="27"/>
      <c r="D116" s="120"/>
      <c r="E116" s="27"/>
      <c r="F116" s="24"/>
      <c r="G116" s="34"/>
      <c r="H116" s="27"/>
      <c r="I116" s="27"/>
      <c r="J116" s="28"/>
      <c r="K116" s="29"/>
      <c r="L116" s="30"/>
      <c r="M116" s="31"/>
      <c r="N116" s="31"/>
    </row>
    <row r="117" spans="1:14" x14ac:dyDescent="0.25">
      <c r="A117" s="27"/>
      <c r="B117" s="27"/>
      <c r="C117" s="27"/>
      <c r="D117" s="120"/>
      <c r="E117" s="27"/>
      <c r="F117" s="24"/>
      <c r="G117" s="34"/>
      <c r="H117" s="27"/>
      <c r="I117" s="27"/>
      <c r="J117" s="28"/>
      <c r="K117" s="29"/>
      <c r="L117" s="30"/>
      <c r="M117" s="31"/>
      <c r="N117" s="31"/>
    </row>
    <row r="118" spans="1:14" x14ac:dyDescent="0.25">
      <c r="A118" s="27"/>
      <c r="B118" s="27"/>
      <c r="C118" s="27"/>
      <c r="D118" s="120"/>
      <c r="E118" s="27"/>
      <c r="F118" s="24"/>
      <c r="G118" s="34"/>
      <c r="H118" s="27"/>
      <c r="I118" s="27"/>
      <c r="J118" s="28"/>
      <c r="K118" s="29"/>
      <c r="L118" s="30"/>
      <c r="M118" s="31"/>
      <c r="N118" s="31"/>
    </row>
    <row r="119" spans="1:14" x14ac:dyDescent="0.25">
      <c r="A119" s="27"/>
      <c r="B119" s="27"/>
      <c r="C119" s="27"/>
      <c r="D119" s="120"/>
      <c r="E119" s="27"/>
      <c r="F119" s="24"/>
      <c r="G119" s="34"/>
      <c r="H119" s="27"/>
      <c r="I119" s="27"/>
      <c r="J119" s="28"/>
      <c r="K119" s="29"/>
      <c r="L119" s="30"/>
      <c r="M119" s="31"/>
      <c r="N119" s="31"/>
    </row>
    <row r="120" spans="1:14" x14ac:dyDescent="0.25">
      <c r="A120" s="27"/>
      <c r="B120" s="27"/>
      <c r="C120" s="27"/>
      <c r="D120" s="120"/>
      <c r="E120" s="27"/>
      <c r="F120" s="24"/>
      <c r="G120" s="34"/>
      <c r="H120" s="27"/>
      <c r="I120" s="27"/>
      <c r="J120" s="28"/>
      <c r="K120" s="29"/>
      <c r="L120" s="30"/>
      <c r="M120" s="31"/>
      <c r="N120" s="31"/>
    </row>
    <row r="121" spans="1:14" x14ac:dyDescent="0.25">
      <c r="A121" s="27"/>
      <c r="B121" s="27"/>
      <c r="C121" s="27"/>
      <c r="D121" s="120"/>
      <c r="E121" s="27"/>
      <c r="F121" s="24"/>
      <c r="G121" s="34"/>
      <c r="H121" s="27"/>
      <c r="I121" s="27"/>
      <c r="J121" s="28"/>
      <c r="K121" s="29"/>
      <c r="L121" s="30"/>
      <c r="M121" s="31"/>
      <c r="N121" s="31"/>
    </row>
    <row r="122" spans="1:14" x14ac:dyDescent="0.25">
      <c r="A122" s="27"/>
      <c r="B122" s="27"/>
      <c r="C122" s="27"/>
      <c r="D122" s="120"/>
      <c r="E122" s="27"/>
      <c r="F122" s="24"/>
      <c r="G122" s="34"/>
      <c r="H122" s="27"/>
      <c r="I122" s="27"/>
      <c r="J122" s="28"/>
      <c r="K122" s="29"/>
      <c r="L122" s="30"/>
      <c r="M122" s="31"/>
      <c r="N122" s="31"/>
    </row>
    <row r="123" spans="1:14" x14ac:dyDescent="0.25">
      <c r="A123" s="27"/>
      <c r="B123" s="27"/>
      <c r="C123" s="27"/>
      <c r="D123" s="120"/>
      <c r="E123" s="27"/>
      <c r="F123" s="24"/>
      <c r="G123" s="34"/>
      <c r="H123" s="27"/>
      <c r="I123" s="27"/>
      <c r="J123" s="28"/>
      <c r="K123" s="29"/>
      <c r="L123" s="30"/>
      <c r="M123" s="31"/>
      <c r="N123" s="31"/>
    </row>
    <row r="124" spans="1:14" x14ac:dyDescent="0.25">
      <c r="A124" s="27"/>
      <c r="B124" s="27"/>
      <c r="C124" s="27"/>
      <c r="D124" s="120"/>
      <c r="E124" s="27"/>
      <c r="F124" s="24"/>
      <c r="G124" s="34"/>
      <c r="H124" s="27"/>
      <c r="I124" s="27"/>
      <c r="J124" s="28"/>
      <c r="K124" s="29"/>
      <c r="L124" s="30"/>
      <c r="M124" s="31"/>
      <c r="N124" s="31"/>
    </row>
    <row r="125" spans="1:14" x14ac:dyDescent="0.25">
      <c r="A125" s="27"/>
      <c r="B125" s="27"/>
      <c r="C125" s="27"/>
      <c r="D125" s="120"/>
      <c r="E125" s="27"/>
      <c r="F125" s="24"/>
      <c r="G125" s="34"/>
      <c r="H125" s="27"/>
      <c r="I125" s="27"/>
      <c r="J125" s="28"/>
      <c r="K125" s="29"/>
      <c r="L125" s="30"/>
      <c r="M125" s="31"/>
      <c r="N125" s="31"/>
    </row>
    <row r="126" spans="1:14" x14ac:dyDescent="0.25">
      <c r="A126" s="27"/>
      <c r="B126" s="27"/>
      <c r="C126" s="27"/>
      <c r="D126" s="120"/>
      <c r="E126" s="27"/>
      <c r="F126" s="24"/>
      <c r="G126" s="34"/>
      <c r="H126" s="27"/>
      <c r="I126" s="27"/>
      <c r="J126" s="28"/>
      <c r="K126" s="29"/>
      <c r="L126" s="30"/>
      <c r="M126" s="31"/>
      <c r="N126" s="31"/>
    </row>
    <row r="127" spans="1:14" x14ac:dyDescent="0.25">
      <c r="A127" s="27"/>
      <c r="B127" s="27"/>
      <c r="C127" s="27"/>
      <c r="D127" s="120"/>
      <c r="E127" s="27"/>
      <c r="F127" s="24"/>
      <c r="G127" s="34"/>
      <c r="H127" s="27"/>
      <c r="I127" s="27"/>
      <c r="J127" s="28"/>
      <c r="K127" s="29"/>
      <c r="L127" s="30"/>
      <c r="M127" s="31"/>
      <c r="N127" s="31"/>
    </row>
    <row r="128" spans="1:14" x14ac:dyDescent="0.25">
      <c r="A128" s="27"/>
      <c r="B128" s="27"/>
      <c r="C128" s="27"/>
      <c r="D128" s="120"/>
      <c r="E128" s="27"/>
      <c r="F128" s="24"/>
      <c r="G128" s="34"/>
      <c r="H128" s="27"/>
      <c r="I128" s="27"/>
      <c r="J128" s="28"/>
      <c r="K128" s="29"/>
      <c r="L128" s="30"/>
      <c r="M128" s="31"/>
      <c r="N128" s="31"/>
    </row>
    <row r="129" spans="1:14" x14ac:dyDescent="0.25">
      <c r="A129" s="27"/>
      <c r="B129" s="27"/>
      <c r="C129" s="27"/>
      <c r="D129" s="120"/>
      <c r="E129" s="27"/>
      <c r="F129" s="24"/>
      <c r="G129" s="34"/>
      <c r="H129" s="27"/>
      <c r="I129" s="27"/>
      <c r="J129" s="28"/>
      <c r="K129" s="29"/>
      <c r="L129" s="30"/>
      <c r="M129" s="31"/>
      <c r="N129" s="31"/>
    </row>
    <row r="130" spans="1:14" x14ac:dyDescent="0.25">
      <c r="A130" s="27"/>
      <c r="B130" s="27"/>
      <c r="C130" s="27"/>
      <c r="D130" s="120"/>
      <c r="E130" s="27"/>
      <c r="F130" s="24"/>
      <c r="G130" s="34"/>
      <c r="H130" s="27"/>
      <c r="I130" s="27"/>
      <c r="J130" s="28"/>
      <c r="K130" s="29"/>
      <c r="L130" s="30"/>
      <c r="M130" s="31"/>
      <c r="N130" s="31"/>
    </row>
    <row r="131" spans="1:14" x14ac:dyDescent="0.25">
      <c r="A131" s="27"/>
      <c r="B131" s="27"/>
      <c r="C131" s="27"/>
      <c r="D131" s="120"/>
      <c r="E131" s="27"/>
      <c r="F131" s="24"/>
      <c r="G131" s="34"/>
      <c r="H131" s="27"/>
      <c r="I131" s="27"/>
      <c r="J131" s="28"/>
      <c r="K131" s="29"/>
      <c r="L131" s="30"/>
      <c r="M131" s="31"/>
      <c r="N131" s="31"/>
    </row>
  </sheetData>
  <autoFilter ref="A10:K113" xr:uid="{00000000-0009-0000-0000-000000000000}">
    <filterColumn colId="4">
      <filters>
        <filter val="52S Inspec Ultrasonido Lin K18"/>
        <filter val="52S Pruebas Electricas Motor"/>
        <filter val="Descripcion de Trabajo"/>
        <filter val="GRUPO 1"/>
        <filter val="Mantenimiento Trimestral Pozo - bloqueo"/>
        <filter val="Medición Parámetros Eléctricos"/>
        <filter val="Pruebas Eléctricas 2 Motores"/>
        <filter val="Registro Temperatura Sala Eléc"/>
        <filter val="Seguimiento con Termografía"/>
        <filter val="UTILIZACION"/>
        <dateGroupItem year="2026" dateTimeGrouping="year"/>
      </filters>
    </filterColumn>
  </autoFilter>
  <mergeCells count="9">
    <mergeCell ref="E69:F69"/>
    <mergeCell ref="E84:F84"/>
    <mergeCell ref="E99:F99"/>
    <mergeCell ref="E8:G8"/>
    <mergeCell ref="I8:K8"/>
    <mergeCell ref="E9:F9"/>
    <mergeCell ref="E24:F24"/>
    <mergeCell ref="E39:F39"/>
    <mergeCell ref="E54:F54"/>
  </mergeCells>
  <conditionalFormatting sqref="B1:B7">
    <cfRule type="cellIs" dxfId="1" priority="1" stopIfTrue="1" operator="greaterThan">
      <formula>0.9</formula>
    </cfRule>
    <cfRule type="cellIs" dxfId="0" priority="2" stopIfTrue="1" operator="greaterThan">
      <formula>0.8</formula>
    </cfRule>
  </conditionalFormatting>
  <pageMargins left="0.11811023622047245" right="0.11811023622047245" top="0.39370078740157483" bottom="0.11811023622047245" header="0.31496062992125984" footer="0.31496062992125984"/>
  <pageSetup paperSize="17" scale="62" orientation="portrait" r:id="rId1"/>
  <rowBreaks count="1" manualBreakCount="1">
    <brk id="68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C-XX</vt:lpstr>
      <vt:lpstr>Programa</vt:lpstr>
      <vt:lpstr>C-20</vt:lpstr>
      <vt:lpstr>C-17</vt:lpstr>
      <vt:lpstr>C-16</vt:lpstr>
      <vt:lpstr>C-15</vt:lpstr>
      <vt:lpstr>C-14</vt:lpstr>
      <vt:lpstr>C-12</vt:lpstr>
      <vt:lpstr>C-08</vt:lpstr>
      <vt:lpstr>C-07</vt:lpstr>
      <vt:lpstr>C-06</vt:lpstr>
      <vt:lpstr>C-05</vt:lpstr>
      <vt:lpstr>C-02</vt:lpstr>
      <vt:lpstr>'C-02'!Print_Area</vt:lpstr>
      <vt:lpstr>'C-05'!Print_Area</vt:lpstr>
      <vt:lpstr>'C-06'!Print_Area</vt:lpstr>
      <vt:lpstr>'C-08'!Print_Area</vt:lpstr>
      <vt:lpstr>'C-12'!Print_Area</vt:lpstr>
      <vt:lpstr>'C-14'!Print_Area</vt:lpstr>
      <vt:lpstr>'C-15'!Print_Area</vt:lpstr>
      <vt:lpstr>'C-16'!Print_Area</vt:lpstr>
      <vt:lpstr>'C-17'!Print_Area</vt:lpstr>
      <vt:lpstr>'C-20'!Print_Area</vt:lpstr>
      <vt:lpstr>'C-XX'!Print_Area</vt:lpstr>
      <vt:lpstr>Programa!Print_Area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Paucara</dc:creator>
  <cp:lastModifiedBy>Victor Aguayo</cp:lastModifiedBy>
  <cp:lastPrinted>2026-05-24T15:23:20Z</cp:lastPrinted>
  <dcterms:created xsi:type="dcterms:W3CDTF">2025-12-17T11:29:12Z</dcterms:created>
  <dcterms:modified xsi:type="dcterms:W3CDTF">2026-05-24T19:22:34Z</dcterms:modified>
</cp:coreProperties>
</file>