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lanning\Preventive Maintenance\Planes semanales\Programa Semanal 2026\Programa Eléctrico &amp; Instrumentación\"/>
    </mc:Choice>
  </mc:AlternateContent>
  <xr:revisionPtr revIDLastSave="0" documentId="14_{C95CD457-0031-46CB-A011-2E2889099E38}" xr6:coauthVersionLast="47" xr6:coauthVersionMax="47" xr10:uidLastSave="{00000000-0000-0000-0000-000000000000}"/>
  <bookViews>
    <workbookView xWindow="-120" yWindow="-120" windowWidth="29040" windowHeight="15720" activeTab="2" xr2:uid="{1AB4BDFB-6A71-4555-8106-9575103A787F}"/>
  </bookViews>
  <sheets>
    <sheet name="E-XX" sheetId="1" r:id="rId1"/>
    <sheet name="Programa" sheetId="2" r:id="rId2"/>
    <sheet name="E-23" sheetId="3" r:id="rId3"/>
  </sheets>
  <definedNames>
    <definedName name="_xlnm._FilterDatabase" localSheetId="2" hidden="1">'E-23'!$A$10:$P$73</definedName>
    <definedName name="_xlnm._FilterDatabase" localSheetId="0" hidden="1">'E-XX'!$A$10:$P$73</definedName>
    <definedName name="_xlnm._FilterDatabase" localSheetId="1" hidden="1">Programa!$A$1:$P$24</definedName>
    <definedName name="_xlnm.Print_Area" localSheetId="2">'E-23'!$A$8:$K$73</definedName>
    <definedName name="_xlnm.Print_Area" localSheetId="0">'E-XX'!$A$8:$K$73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3" i="3" l="1"/>
  <c r="I73" i="3" s="1"/>
  <c r="J72" i="3"/>
  <c r="J71" i="3"/>
  <c r="J70" i="3"/>
  <c r="J69" i="3"/>
  <c r="J68" i="3"/>
  <c r="J73" i="3" s="1"/>
  <c r="K67" i="3"/>
  <c r="I67" i="3"/>
  <c r="J67" i="3" s="1"/>
  <c r="H64" i="3"/>
  <c r="D6" i="3" s="1"/>
  <c r="J63" i="3"/>
  <c r="J62" i="3"/>
  <c r="J61" i="3"/>
  <c r="J60" i="3"/>
  <c r="J59" i="3"/>
  <c r="J58" i="3"/>
  <c r="J57" i="3"/>
  <c r="I56" i="3"/>
  <c r="H53" i="3"/>
  <c r="I53" i="3" s="1"/>
  <c r="J52" i="3"/>
  <c r="K47" i="3" s="1"/>
  <c r="J51" i="3"/>
  <c r="J50" i="3"/>
  <c r="J49" i="3"/>
  <c r="J48" i="3"/>
  <c r="I47" i="3"/>
  <c r="H44" i="3"/>
  <c r="D4" i="3" s="1"/>
  <c r="J43" i="3"/>
  <c r="J42" i="3"/>
  <c r="J41" i="3"/>
  <c r="J40" i="3"/>
  <c r="J39" i="3"/>
  <c r="J44" i="3" s="1"/>
  <c r="I38" i="3"/>
  <c r="J38" i="3" s="1"/>
  <c r="H35" i="3"/>
  <c r="I35" i="3" s="1"/>
  <c r="J34" i="3"/>
  <c r="J33" i="3"/>
  <c r="J32" i="3"/>
  <c r="J31" i="3"/>
  <c r="J30" i="3"/>
  <c r="I29" i="3"/>
  <c r="H26" i="3"/>
  <c r="I26" i="3" s="1"/>
  <c r="J25" i="3"/>
  <c r="J24" i="3"/>
  <c r="J23" i="3"/>
  <c r="J22" i="3"/>
  <c r="J21" i="3"/>
  <c r="J26" i="3" s="1"/>
  <c r="K26" i="3" s="1"/>
  <c r="B2" i="3" s="1"/>
  <c r="I20" i="3"/>
  <c r="E18" i="3"/>
  <c r="E27" i="3" s="1"/>
  <c r="E36" i="3" s="1"/>
  <c r="E45" i="3" s="1"/>
  <c r="E54" i="3" s="1"/>
  <c r="E65" i="3" s="1"/>
  <c r="H17" i="3"/>
  <c r="I17" i="3" s="1"/>
  <c r="J16" i="3"/>
  <c r="J15" i="3"/>
  <c r="J13" i="3"/>
  <c r="J12" i="3"/>
  <c r="J17" i="3" s="1"/>
  <c r="K11" i="3"/>
  <c r="I11" i="3"/>
  <c r="J11" i="3" s="1"/>
  <c r="D7" i="3"/>
  <c r="F6" i="3"/>
  <c r="F5" i="3"/>
  <c r="D5" i="3"/>
  <c r="F4" i="3"/>
  <c r="F3" i="3"/>
  <c r="F2" i="3"/>
  <c r="L24" i="2"/>
  <c r="L23" i="2"/>
  <c r="L22" i="2"/>
  <c r="L21" i="2"/>
  <c r="L20" i="2"/>
  <c r="L18" i="2"/>
  <c r="L17" i="2"/>
  <c r="L16" i="2"/>
  <c r="L15" i="2"/>
  <c r="L14" i="2"/>
  <c r="L10" i="2"/>
  <c r="L12" i="2"/>
  <c r="L11" i="2"/>
  <c r="L9" i="2"/>
  <c r="L8" i="2"/>
  <c r="L6" i="2"/>
  <c r="L5" i="2"/>
  <c r="L4" i="2"/>
  <c r="L3" i="2"/>
  <c r="H73" i="1"/>
  <c r="D7" i="1" s="1"/>
  <c r="H64" i="1"/>
  <c r="H53" i="1"/>
  <c r="I53" i="1" s="1"/>
  <c r="H44" i="1"/>
  <c r="D4" i="1" s="1"/>
  <c r="H35" i="1"/>
  <c r="H26" i="1"/>
  <c r="I26" i="1" s="1"/>
  <c r="H17" i="1"/>
  <c r="D1" i="1" s="1"/>
  <c r="I11" i="1"/>
  <c r="J12" i="1"/>
  <c r="J13" i="1"/>
  <c r="J15" i="1"/>
  <c r="J16" i="1"/>
  <c r="E18" i="1"/>
  <c r="E27" i="1" s="1"/>
  <c r="I20" i="1"/>
  <c r="J21" i="1"/>
  <c r="J22" i="1"/>
  <c r="J23" i="1"/>
  <c r="J24" i="1"/>
  <c r="J25" i="1"/>
  <c r="I29" i="1"/>
  <c r="J30" i="1"/>
  <c r="J31" i="1"/>
  <c r="J32" i="1"/>
  <c r="J33" i="1"/>
  <c r="J34" i="1"/>
  <c r="D3" i="1"/>
  <c r="I38" i="1"/>
  <c r="J39" i="1"/>
  <c r="J40" i="1"/>
  <c r="J41" i="1"/>
  <c r="J42" i="1"/>
  <c r="J43" i="1"/>
  <c r="I47" i="1"/>
  <c r="J48" i="1"/>
  <c r="J49" i="1"/>
  <c r="J50" i="1"/>
  <c r="J51" i="1"/>
  <c r="J52" i="1"/>
  <c r="I56" i="1"/>
  <c r="J57" i="1"/>
  <c r="J58" i="1"/>
  <c r="J59" i="1"/>
  <c r="J60" i="1"/>
  <c r="J61" i="1"/>
  <c r="J62" i="1"/>
  <c r="J63" i="1"/>
  <c r="D6" i="1"/>
  <c r="I67" i="1"/>
  <c r="J68" i="1"/>
  <c r="J73" i="1" s="1"/>
  <c r="J69" i="1"/>
  <c r="J70" i="1"/>
  <c r="J71" i="1"/>
  <c r="J72" i="1"/>
  <c r="K56" i="3" l="1"/>
  <c r="J56" i="3"/>
  <c r="K29" i="3"/>
  <c r="J20" i="3"/>
  <c r="K20" i="3"/>
  <c r="J47" i="3"/>
  <c r="D1" i="3"/>
  <c r="J53" i="3"/>
  <c r="J64" i="1"/>
  <c r="K64" i="1" s="1"/>
  <c r="B6" i="1" s="1"/>
  <c r="K17" i="3"/>
  <c r="B1" i="3" s="1"/>
  <c r="K53" i="3"/>
  <c r="B5" i="3" s="1"/>
  <c r="K73" i="3"/>
  <c r="B7" i="3" s="1"/>
  <c r="D3" i="3"/>
  <c r="J35" i="3"/>
  <c r="K35" i="3" s="1"/>
  <c r="B3" i="3" s="1"/>
  <c r="I64" i="3"/>
  <c r="J64" i="3"/>
  <c r="K64" i="3" s="1"/>
  <c r="B6" i="3" s="1"/>
  <c r="D2" i="3"/>
  <c r="E4" i="3" s="1"/>
  <c r="K38" i="3"/>
  <c r="J29" i="3"/>
  <c r="F1" i="3" s="1"/>
  <c r="E1" i="3" s="1"/>
  <c r="I44" i="3"/>
  <c r="K44" i="3" s="1"/>
  <c r="B4" i="3" s="1"/>
  <c r="D2" i="1"/>
  <c r="J53" i="1"/>
  <c r="K53" i="1" s="1"/>
  <c r="B5" i="1" s="1"/>
  <c r="J44" i="1"/>
  <c r="J35" i="1"/>
  <c r="I44" i="1"/>
  <c r="J26" i="1"/>
  <c r="K26" i="1" s="1"/>
  <c r="B2" i="1" s="1"/>
  <c r="J17" i="1"/>
  <c r="I64" i="1"/>
  <c r="I73" i="1"/>
  <c r="J56" i="1"/>
  <c r="F3" i="1"/>
  <c r="I17" i="1"/>
  <c r="I35" i="1"/>
  <c r="K38" i="1"/>
  <c r="F2" i="1"/>
  <c r="K20" i="1"/>
  <c r="J29" i="1"/>
  <c r="J47" i="1"/>
  <c r="K56" i="1"/>
  <c r="K11" i="1"/>
  <c r="E36" i="1"/>
  <c r="K67" i="1"/>
  <c r="J67" i="1"/>
  <c r="F6" i="1"/>
  <c r="J38" i="1"/>
  <c r="J11" i="1"/>
  <c r="D5" i="1"/>
  <c r="K29" i="1"/>
  <c r="F5" i="1"/>
  <c r="K47" i="1"/>
  <c r="J20" i="1"/>
  <c r="K44" i="1" l="1"/>
  <c r="B4" i="1" s="1"/>
  <c r="E2" i="3"/>
  <c r="E3" i="3"/>
  <c r="C1" i="3"/>
  <c r="C4" i="3" s="1"/>
  <c r="E2" i="1"/>
  <c r="K73" i="1"/>
  <c r="B7" i="1" s="1"/>
  <c r="K35" i="1"/>
  <c r="B3" i="1" s="1"/>
  <c r="F1" i="1"/>
  <c r="F4" i="1"/>
  <c r="K17" i="1"/>
  <c r="B1" i="1" s="1"/>
  <c r="E3" i="1"/>
  <c r="E45" i="1"/>
  <c r="E4" i="1"/>
  <c r="E1" i="1" l="1"/>
  <c r="C1" i="1"/>
  <c r="C4" i="1" s="1"/>
  <c r="E54" i="1"/>
  <c r="E65" i="1" l="1"/>
</calcChain>
</file>

<file path=xl/sharedStrings.xml><?xml version="1.0" encoding="utf-8"?>
<sst xmlns="http://schemas.openxmlformats.org/spreadsheetml/2006/main" count="685" uniqueCount="73">
  <si>
    <t>Do</t>
  </si>
  <si>
    <t>Utilizacion</t>
  </si>
  <si>
    <t>UTILIZACION</t>
  </si>
  <si>
    <t>Grupo 4</t>
  </si>
  <si>
    <t>Grupo 3</t>
  </si>
  <si>
    <t>D</t>
  </si>
  <si>
    <t>Grupo 2</t>
  </si>
  <si>
    <t>T</t>
  </si>
  <si>
    <t>Grupo 1</t>
  </si>
  <si>
    <t>N</t>
  </si>
  <si>
    <t>Repetidora Jayula</t>
  </si>
  <si>
    <t>780ZI200</t>
  </si>
  <si>
    <t>2S Insp/Verif Cond Repetidoras</t>
  </si>
  <si>
    <t>Mtto. Predictivo</t>
  </si>
  <si>
    <t>PdM</t>
  </si>
  <si>
    <t>Repetidora Cerrillos</t>
  </si>
  <si>
    <t>780ZI100</t>
  </si>
  <si>
    <t>GRUPO 1</t>
  </si>
  <si>
    <t>Descripcion</t>
  </si>
  <si>
    <t>Personal</t>
  </si>
  <si>
    <t>Hr total</t>
  </si>
  <si>
    <t>Hr Trabajo</t>
  </si>
  <si>
    <t>Personas</t>
  </si>
  <si>
    <t>Descripcion de Equipo</t>
  </si>
  <si>
    <t>Equipo</t>
  </si>
  <si>
    <t>Descripcion de Trabajo</t>
  </si>
  <si>
    <t>Prioridad</t>
  </si>
  <si>
    <t>Tipo Trabajo</t>
  </si>
  <si>
    <t>Tipo OT</t>
  </si>
  <si>
    <t>No OT</t>
  </si>
  <si>
    <t>Dia</t>
  </si>
  <si>
    <t>Sa</t>
  </si>
  <si>
    <t>Taller de Radiocomunicacion</t>
  </si>
  <si>
    <t>710BL720</t>
  </si>
  <si>
    <t>1S Insp/Verif Condicion Handie</t>
  </si>
  <si>
    <t>Mine Admin / Operations</t>
  </si>
  <si>
    <t>MINE</t>
  </si>
  <si>
    <t>Vi</t>
  </si>
  <si>
    <t>Ju</t>
  </si>
  <si>
    <t>Mi</t>
  </si>
  <si>
    <t>Ma</t>
  </si>
  <si>
    <t>Lu</t>
  </si>
  <si>
    <t>Programacion Semanal</t>
  </si>
  <si>
    <t>23 / 26</t>
  </si>
  <si>
    <t>Semana</t>
  </si>
  <si>
    <t>Domingo</t>
  </si>
  <si>
    <t>Turno Nocturno</t>
  </si>
  <si>
    <t>Sabado</t>
  </si>
  <si>
    <t>Turno Diurno</t>
  </si>
  <si>
    <t>Reactivo</t>
  </si>
  <si>
    <t>Viernes</t>
  </si>
  <si>
    <t>Jueves</t>
  </si>
  <si>
    <t>Miercoles</t>
  </si>
  <si>
    <t>Carga Horaria</t>
  </si>
  <si>
    <t>Martes</t>
  </si>
  <si>
    <t>Lunes</t>
  </si>
  <si>
    <t>Control</t>
  </si>
  <si>
    <t>No
OT</t>
  </si>
  <si>
    <t>Tipo
OT</t>
  </si>
  <si>
    <t>Tipo
Trabajo</t>
  </si>
  <si>
    <t>Job Description</t>
  </si>
  <si>
    <t>N° personas</t>
  </si>
  <si>
    <t>HH Estimado</t>
  </si>
  <si>
    <t>Fecha inicio</t>
  </si>
  <si>
    <t>Fecha final</t>
  </si>
  <si>
    <t>Dias</t>
  </si>
  <si>
    <t>Radio</t>
  </si>
  <si>
    <t>Lu a Sa</t>
  </si>
  <si>
    <t>PROGRAMA SEMANAL RADIOCOMUNICACIONES</t>
  </si>
  <si>
    <t>SEMANA 23 / 26 - RADIOCOMUNICACIONES</t>
  </si>
  <si>
    <t>SEMANA 24 / 26 - RADIOCOMUNICACIONES</t>
  </si>
  <si>
    <t>SEMANA 25 / 26 - RADIOCOMUNICACIONES</t>
  </si>
  <si>
    <t>SEMANA 26 / 26 - RADIOCOMUNICACIONES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</si>
</sst>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,##0.0"/>
    <numFmt numFmtId="166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rial"/>
      <family val="2"/>
    </font>
    <font>
      <b/>
      <sz val="10"/>
      <color indexed="18"/>
      <name val="Aptos Narrow"/>
      <family val="2"/>
      <scheme val="minor"/>
    </font>
    <font>
      <sz val="10"/>
      <color indexed="18"/>
      <name val="Aptos Narrow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60"/>
      <name val="Aptos Narrow"/>
      <family val="2"/>
      <scheme val="minor"/>
    </font>
    <font>
      <sz val="10"/>
      <color indexed="9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/>
      <diagonal/>
    </border>
    <border>
      <left style="double">
        <color indexed="64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9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14" fillId="0" borderId="0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3" fillId="0" borderId="0" xfId="2" applyFont="1" applyAlignment="1">
      <alignment horizontal="left" vertical="center" wrapText="1"/>
    </xf>
    <xf numFmtId="164" fontId="4" fillId="0" borderId="0" xfId="2" applyFont="1" applyAlignment="1">
      <alignment vertical="center"/>
    </xf>
    <xf numFmtId="164" fontId="3" fillId="0" borderId="0" xfId="2" applyFont="1" applyAlignment="1">
      <alignment wrapText="1"/>
    </xf>
    <xf numFmtId="164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64" fontId="3" fillId="0" borderId="0" xfId="2" applyFont="1" applyAlignment="1">
      <alignment horizontal="center" wrapText="1"/>
    </xf>
    <xf numFmtId="1" fontId="3" fillId="0" borderId="0" xfId="2" applyNumberFormat="1" applyFont="1" applyAlignment="1">
      <alignment wrapText="1"/>
    </xf>
    <xf numFmtId="1" fontId="3" fillId="0" borderId="0" xfId="2" applyNumberFormat="1" applyFont="1" applyAlignment="1">
      <alignment horizontal="center" vertical="center" wrapText="1"/>
    </xf>
    <xf numFmtId="164" fontId="3" fillId="0" borderId="0" xfId="2" applyFont="1" applyAlignment="1">
      <alignment horizontal="center" vertical="center" wrapText="1"/>
    </xf>
    <xf numFmtId="9" fontId="5" fillId="2" borderId="1" xfId="2" applyNumberFormat="1" applyFont="1" applyFill="1" applyBorder="1" applyAlignment="1">
      <alignment horizontal="left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1" fontId="5" fillId="2" borderId="3" xfId="2" applyNumberFormat="1" applyFont="1" applyFill="1" applyBorder="1" applyAlignment="1">
      <alignment horizontal="center" vertical="center" wrapText="1"/>
    </xf>
    <xf numFmtId="49" fontId="3" fillId="2" borderId="3" xfId="4" applyNumberFormat="1" applyFont="1" applyFill="1" applyBorder="1" applyAlignment="1">
      <alignment vertical="center" wrapText="1"/>
    </xf>
    <xf numFmtId="49" fontId="3" fillId="2" borderId="4" xfId="4" applyNumberFormat="1" applyFont="1" applyFill="1" applyBorder="1" applyAlignment="1">
      <alignment horizontal="center" vertical="center" wrapText="1"/>
    </xf>
    <xf numFmtId="49" fontId="5" fillId="2" borderId="4" xfId="4" applyNumberFormat="1" applyFont="1" applyFill="1" applyBorder="1" applyAlignment="1">
      <alignment horizontal="center" vertical="center" wrapText="1"/>
    </xf>
    <xf numFmtId="49" fontId="3" fillId="2" borderId="4" xfId="5" applyNumberFormat="1" applyFont="1" applyFill="1" applyBorder="1" applyAlignment="1">
      <alignment horizontal="center" vertical="center" wrapText="1"/>
    </xf>
    <xf numFmtId="164" fontId="3" fillId="2" borderId="5" xfId="5" applyFont="1" applyFill="1" applyBorder="1" applyAlignment="1">
      <alignment horizontal="center" vertical="center" wrapText="1"/>
    </xf>
    <xf numFmtId="1" fontId="4" fillId="0" borderId="7" xfId="5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2" applyNumberFormat="1" applyFont="1" applyBorder="1" applyAlignment="1">
      <alignment horizontal="center"/>
    </xf>
    <xf numFmtId="164" fontId="4" fillId="0" borderId="6" xfId="2" applyFont="1" applyBorder="1"/>
    <xf numFmtId="49" fontId="4" fillId="0" borderId="6" xfId="2" applyNumberFormat="1" applyFont="1" applyBorder="1" applyAlignment="1">
      <alignment horizontal="center"/>
    </xf>
    <xf numFmtId="164" fontId="4" fillId="0" borderId="6" xfId="2" applyFont="1" applyBorder="1" applyAlignment="1">
      <alignment vertical="center"/>
    </xf>
    <xf numFmtId="0" fontId="4" fillId="0" borderId="6" xfId="2" applyNumberFormat="1" applyFont="1" applyBorder="1" applyAlignment="1">
      <alignment horizontal="center" vertical="center"/>
    </xf>
    <xf numFmtId="164" fontId="4" fillId="0" borderId="6" xfId="2" applyFont="1" applyBorder="1" applyAlignment="1">
      <alignment horizontal="left" vertical="center"/>
    </xf>
    <xf numFmtId="164" fontId="4" fillId="0" borderId="6" xfId="2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horizontal="center"/>
    </xf>
    <xf numFmtId="164" fontId="3" fillId="0" borderId="0" xfId="2" applyFont="1" applyAlignment="1">
      <alignment vertical="center" wrapText="1"/>
    </xf>
    <xf numFmtId="164" fontId="3" fillId="0" borderId="6" xfId="2" applyFont="1" applyBorder="1" applyAlignment="1">
      <alignment vertical="center" wrapText="1"/>
    </xf>
    <xf numFmtId="164" fontId="5" fillId="3" borderId="6" xfId="2" applyFont="1" applyFill="1" applyBorder="1" applyAlignment="1">
      <alignment vertical="center" wrapText="1"/>
    </xf>
    <xf numFmtId="9" fontId="4" fillId="3" borderId="6" xfId="5" applyNumberFormat="1" applyFont="1" applyFill="1" applyBorder="1" applyAlignment="1">
      <alignment horizontal="center" vertical="center"/>
    </xf>
    <xf numFmtId="0" fontId="3" fillId="3" borderId="6" xfId="2" applyNumberFormat="1" applyFont="1" applyFill="1" applyBorder="1" applyAlignment="1">
      <alignment horizontal="center" vertical="center"/>
    </xf>
    <xf numFmtId="164" fontId="2" fillId="0" borderId="0" xfId="2" applyFont="1" applyAlignment="1">
      <alignment horizontal="center"/>
    </xf>
    <xf numFmtId="1" fontId="3" fillId="3" borderId="8" xfId="2" applyNumberFormat="1" applyFont="1" applyFill="1" applyBorder="1" applyAlignment="1">
      <alignment horizontal="center" vertical="center"/>
    </xf>
    <xf numFmtId="164" fontId="3" fillId="3" borderId="10" xfId="2" applyFont="1" applyFill="1" applyBorder="1" applyAlignment="1">
      <alignment horizontal="center" vertical="center"/>
    </xf>
    <xf numFmtId="164" fontId="5" fillId="3" borderId="10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164" fontId="2" fillId="0" borderId="0" xfId="2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3" fillId="3" borderId="10" xfId="2" applyFont="1" applyFill="1" applyBorder="1" applyAlignment="1">
      <alignment vertical="center"/>
    </xf>
    <xf numFmtId="164" fontId="11" fillId="4" borderId="12" xfId="6" applyFont="1" applyFill="1" applyBorder="1" applyAlignment="1">
      <alignment horizontal="left" vertical="center" wrapText="1"/>
    </xf>
    <xf numFmtId="1" fontId="11" fillId="4" borderId="13" xfId="6" applyNumberFormat="1" applyFont="1" applyFill="1" applyBorder="1" applyAlignment="1">
      <alignment horizontal="center" vertical="center" wrapText="1"/>
    </xf>
    <xf numFmtId="164" fontId="11" fillId="4" borderId="13" xfId="6" applyFont="1" applyFill="1" applyBorder="1" applyAlignment="1">
      <alignment horizontal="center" vertical="center" wrapText="1"/>
    </xf>
    <xf numFmtId="164" fontId="11" fillId="4" borderId="13" xfId="6" applyFont="1" applyFill="1" applyBorder="1" applyAlignment="1">
      <alignment vertical="center" wrapText="1"/>
    </xf>
    <xf numFmtId="164" fontId="11" fillId="4" borderId="14" xfId="6" applyFont="1" applyFill="1" applyBorder="1" applyAlignment="1">
      <alignment horizontal="center" vertical="center" wrapText="1"/>
    </xf>
    <xf numFmtId="164" fontId="11" fillId="4" borderId="15" xfId="6" applyFont="1" applyFill="1" applyBorder="1" applyAlignment="1">
      <alignment horizontal="center" vertical="center" wrapText="1"/>
    </xf>
    <xf numFmtId="165" fontId="12" fillId="5" borderId="16" xfId="2" applyNumberFormat="1" applyFont="1" applyFill="1" applyBorder="1" applyAlignment="1">
      <alignment horizontal="left" vertical="center" wrapText="1"/>
    </xf>
    <xf numFmtId="1" fontId="12" fillId="5" borderId="17" xfId="2" applyNumberFormat="1" applyFont="1" applyFill="1" applyBorder="1" applyAlignment="1">
      <alignment horizontal="center" vertical="center" wrapText="1"/>
    </xf>
    <xf numFmtId="164" fontId="12" fillId="5" borderId="17" xfId="2" applyFont="1" applyFill="1" applyBorder="1" applyAlignment="1">
      <alignment horizontal="center" vertical="center" wrapText="1"/>
    </xf>
    <xf numFmtId="9" fontId="12" fillId="5" borderId="17" xfId="1" applyFont="1" applyFill="1" applyBorder="1" applyAlignment="1">
      <alignment horizontal="center" vertical="center" wrapText="1"/>
    </xf>
    <xf numFmtId="164" fontId="12" fillId="5" borderId="18" xfId="2" applyFont="1" applyFill="1" applyBorder="1" applyAlignment="1">
      <alignment vertical="center" wrapText="1"/>
    </xf>
    <xf numFmtId="164" fontId="12" fillId="5" borderId="18" xfId="2" applyFont="1" applyFill="1" applyBorder="1" applyAlignment="1">
      <alignment horizontal="center" wrapText="1"/>
    </xf>
    <xf numFmtId="1" fontId="5" fillId="2" borderId="2" xfId="3" applyNumberFormat="1" applyFont="1" applyFill="1" applyBorder="1" applyAlignment="1">
      <alignment horizontal="center" wrapText="1"/>
    </xf>
    <xf numFmtId="49" fontId="3" fillId="2" borderId="9" xfId="4" applyNumberFormat="1" applyFont="1" applyFill="1" applyBorder="1" applyAlignment="1">
      <alignment vertical="center" wrapText="1"/>
    </xf>
    <xf numFmtId="49" fontId="3" fillId="2" borderId="10" xfId="4" applyNumberFormat="1" applyFont="1" applyFill="1" applyBorder="1" applyAlignment="1">
      <alignment horizontal="center" vertical="center" wrapText="1"/>
    </xf>
    <xf numFmtId="49" fontId="5" fillId="2" borderId="10" xfId="4" applyNumberFormat="1" applyFont="1" applyFill="1" applyBorder="1" applyAlignment="1">
      <alignment horizontal="center" vertical="center" wrapText="1"/>
    </xf>
    <xf numFmtId="49" fontId="3" fillId="2" borderId="10" xfId="5" applyNumberFormat="1" applyFont="1" applyFill="1" applyBorder="1" applyAlignment="1">
      <alignment horizontal="center" vertical="center" wrapText="1"/>
    </xf>
    <xf numFmtId="164" fontId="3" fillId="2" borderId="11" xfId="5" applyFont="1" applyFill="1" applyBorder="1" applyAlignment="1">
      <alignment horizontal="center" vertical="center" wrapText="1"/>
    </xf>
    <xf numFmtId="49" fontId="2" fillId="0" borderId="7" xfId="0" applyNumberFormat="1" applyFont="1" applyBorder="1"/>
    <xf numFmtId="49" fontId="2" fillId="0" borderId="7" xfId="0" applyNumberFormat="1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7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164" fontId="12" fillId="5" borderId="19" xfId="2" applyFont="1" applyFill="1" applyBorder="1" applyAlignment="1">
      <alignment vertical="center" wrapText="1"/>
    </xf>
    <xf numFmtId="164" fontId="12" fillId="5" borderId="22" xfId="2" applyFont="1" applyFill="1" applyBorder="1" applyAlignment="1">
      <alignment horizontal="center" vertical="center" wrapText="1"/>
    </xf>
    <xf numFmtId="164" fontId="12" fillId="5" borderId="19" xfId="2" applyFont="1" applyFill="1" applyBorder="1" applyAlignment="1">
      <alignment horizontal="center" wrapText="1"/>
    </xf>
    <xf numFmtId="1" fontId="3" fillId="3" borderId="6" xfId="2" applyNumberFormat="1" applyFont="1" applyFill="1" applyBorder="1" applyAlignment="1">
      <alignment horizontal="center" vertical="center"/>
    </xf>
    <xf numFmtId="164" fontId="11" fillId="4" borderId="23" xfId="6" applyFont="1" applyFill="1" applyBorder="1" applyAlignment="1">
      <alignment horizontal="left" vertical="center" wrapText="1"/>
    </xf>
    <xf numFmtId="1" fontId="11" fillId="4" borderId="14" xfId="6" applyNumberFormat="1" applyFont="1" applyFill="1" applyBorder="1" applyAlignment="1">
      <alignment horizontal="center" vertical="center" wrapText="1"/>
    </xf>
    <xf numFmtId="164" fontId="11" fillId="4" borderId="14" xfId="6" applyFont="1" applyFill="1" applyBorder="1" applyAlignment="1">
      <alignment vertical="center" wrapText="1"/>
    </xf>
    <xf numFmtId="164" fontId="11" fillId="4" borderId="24" xfId="6" applyFont="1" applyFill="1" applyBorder="1" applyAlignment="1">
      <alignment horizontal="center" vertical="center" wrapText="1"/>
    </xf>
    <xf numFmtId="164" fontId="12" fillId="5" borderId="17" xfId="2" applyFont="1" applyFill="1" applyBorder="1" applyAlignment="1">
      <alignment vertical="center" wrapText="1"/>
    </xf>
    <xf numFmtId="49" fontId="7" fillId="2" borderId="28" xfId="2" applyNumberFormat="1" applyFont="1" applyFill="1" applyBorder="1" applyAlignment="1">
      <alignment horizontal="center" vertical="center" wrapText="1"/>
    </xf>
    <xf numFmtId="49" fontId="7" fillId="6" borderId="25" xfId="2" applyNumberFormat="1" applyFont="1" applyFill="1" applyBorder="1" applyAlignment="1">
      <alignment horizontal="center" vertical="center" wrapText="1"/>
    </xf>
    <xf numFmtId="49" fontId="7" fillId="6" borderId="27" xfId="2" applyNumberFormat="1" applyFont="1" applyFill="1" applyBorder="1" applyAlignment="1">
      <alignment horizontal="right" vertical="center" wrapText="1"/>
    </xf>
    <xf numFmtId="164" fontId="8" fillId="2" borderId="25" xfId="2" applyFont="1" applyFill="1" applyBorder="1" applyAlignment="1">
      <alignment horizontal="center" wrapText="1"/>
    </xf>
    <xf numFmtId="164" fontId="8" fillId="2" borderId="27" xfId="2" applyFont="1" applyFill="1" applyBorder="1" applyAlignment="1">
      <alignment horizontal="center" wrapText="1"/>
    </xf>
    <xf numFmtId="166" fontId="16" fillId="7" borderId="0" xfId="2" applyNumberFormat="1" applyFont="1" applyFill="1" applyAlignment="1">
      <alignment horizontal="center" wrapText="1"/>
    </xf>
    <xf numFmtId="10" fontId="3" fillId="0" borderId="0" xfId="2" applyNumberFormat="1" applyFont="1" applyAlignment="1">
      <alignment horizontal="left" wrapText="1"/>
    </xf>
    <xf numFmtId="10" fontId="3" fillId="0" borderId="0" xfId="2" applyNumberFormat="1" applyFont="1" applyAlignment="1">
      <alignment horizontal="center" wrapText="1"/>
    </xf>
    <xf numFmtId="164" fontId="17" fillId="8" borderId="0" xfId="2" applyFont="1" applyFill="1" applyAlignment="1">
      <alignment horizontal="center" wrapText="1"/>
    </xf>
    <xf numFmtId="10" fontId="4" fillId="0" borderId="0" xfId="2" applyNumberFormat="1" applyFont="1" applyAlignment="1">
      <alignment horizontal="center" wrapText="1"/>
    </xf>
    <xf numFmtId="10" fontId="18" fillId="8" borderId="0" xfId="2" applyNumberFormat="1" applyFont="1" applyFill="1" applyAlignment="1">
      <alignment horizontal="center" wrapText="1"/>
    </xf>
    <xf numFmtId="0" fontId="19" fillId="9" borderId="28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left" vertical="center" wrapText="1"/>
    </xf>
    <xf numFmtId="14" fontId="19" fillId="9" borderId="28" xfId="0" applyNumberFormat="1" applyFont="1" applyFill="1" applyBorder="1" applyAlignment="1">
      <alignment horizontal="center" vertical="center" wrapText="1"/>
    </xf>
    <xf numFmtId="14" fontId="19" fillId="9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4" fontId="2" fillId="3" borderId="10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64" fontId="13" fillId="5" borderId="18" xfId="2" applyFont="1" applyFill="1" applyBorder="1" applyAlignment="1">
      <alignment horizontal="center" vertical="center" wrapText="1"/>
    </xf>
    <xf numFmtId="164" fontId="13" fillId="5" borderId="16" xfId="2" applyFont="1" applyFill="1" applyBorder="1" applyAlignment="1">
      <alignment horizontal="center" vertical="center" wrapText="1"/>
    </xf>
    <xf numFmtId="49" fontId="7" fillId="2" borderId="27" xfId="2" applyNumberFormat="1" applyFont="1" applyFill="1" applyBorder="1" applyAlignment="1">
      <alignment horizontal="center" vertical="center" wrapText="1"/>
    </xf>
    <xf numFmtId="49" fontId="7" fillId="2" borderId="26" xfId="2" applyNumberFormat="1" applyFont="1" applyFill="1" applyBorder="1" applyAlignment="1">
      <alignment horizontal="center" vertical="center" wrapText="1"/>
    </xf>
    <xf numFmtId="49" fontId="7" fillId="2" borderId="25" xfId="2" applyNumberFormat="1" applyFont="1" applyFill="1" applyBorder="1" applyAlignment="1">
      <alignment horizontal="center" vertical="center" wrapText="1"/>
    </xf>
    <xf numFmtId="164" fontId="7" fillId="2" borderId="27" xfId="2" applyFont="1" applyFill="1" applyBorder="1" applyAlignment="1">
      <alignment horizontal="center" vertical="center" wrapText="1"/>
    </xf>
    <xf numFmtId="164" fontId="7" fillId="2" borderId="26" xfId="2" applyFont="1" applyFill="1" applyBorder="1" applyAlignment="1">
      <alignment horizontal="center" vertical="center" wrapText="1"/>
    </xf>
    <xf numFmtId="164" fontId="7" fillId="2" borderId="25" xfId="2" applyFont="1" applyFill="1" applyBorder="1" applyAlignment="1">
      <alignment horizontal="center" vertical="center" wrapText="1"/>
    </xf>
    <xf numFmtId="164" fontId="13" fillId="5" borderId="17" xfId="2" applyFont="1" applyFill="1" applyBorder="1" applyAlignment="1">
      <alignment horizontal="center" vertical="center" wrapText="1"/>
    </xf>
    <xf numFmtId="164" fontId="13" fillId="5" borderId="21" xfId="2" applyFont="1" applyFill="1" applyBorder="1" applyAlignment="1">
      <alignment horizontal="center" vertical="center" wrapText="1"/>
    </xf>
    <xf numFmtId="164" fontId="13" fillId="5" borderId="20" xfId="2" applyFont="1" applyFill="1" applyBorder="1" applyAlignment="1">
      <alignment horizontal="center" vertical="center" wrapText="1"/>
    </xf>
  </cellXfs>
  <cellStyles count="8">
    <cellStyle name="Normal" xfId="0" builtinId="0"/>
    <cellStyle name="Normal 3" xfId="7" xr:uid="{9216F39D-AE40-4785-A984-F40879DD229F}"/>
    <cellStyle name="Normal 4" xfId="2" xr:uid="{AB03FA0A-F051-45F0-9C2A-E47AF5E1C4CD}"/>
    <cellStyle name="Normal_Mobile Weekly Schedule Daily Sheet" xfId="6" xr:uid="{8AD00D77-4176-4734-B369-2CB533D426E5}"/>
    <cellStyle name="Normal_Sheet1" xfId="4" xr:uid="{7E90C7EE-E9DC-428C-8C39-469E017DA1D0}"/>
    <cellStyle name="Normal_WEEKLY SCHEDULE" xfId="5" xr:uid="{77534B33-1FC0-4DF4-8BC4-E8CA0EAE8329}"/>
    <cellStyle name="Normal_Worksheet in Basis (1)" xfId="3" xr:uid="{C386A8AD-FC18-4C30-A41E-21773332E048}"/>
    <cellStyle name="Percent" xfId="1" builtinId="5"/>
  </cellStyles>
  <dxfs count="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1EC-62E7-444D-9F7D-CF680593899D}">
  <sheetPr>
    <pageSetUpPr fitToPage="1"/>
  </sheetPr>
  <dimension ref="A1:P91"/>
  <sheetViews>
    <sheetView zoomScale="115" zoomScaleNormal="115" workbookViewId="0">
      <selection activeCell="I72" sqref="I72"/>
    </sheetView>
  </sheetViews>
  <sheetFormatPr defaultRowHeight="13.5" x14ac:dyDescent="0.25"/>
  <cols>
    <col min="1" max="1" width="10.140625" style="3" customWidth="1"/>
    <col min="2" max="2" width="9.7109375" style="3" customWidth="1"/>
    <col min="3" max="3" width="22" style="1" customWidth="1"/>
    <col min="4" max="4" width="11.42578125" style="1" customWidth="1"/>
    <col min="5" max="5" width="34.42578125" style="1" customWidth="1"/>
    <col min="6" max="6" width="15.7109375" style="3" customWidth="1"/>
    <col min="7" max="7" width="23.85546875" style="1" customWidth="1"/>
    <col min="8" max="8" width="6.5703125" style="1" customWidth="1"/>
    <col min="9" max="9" width="6.85546875" style="1" customWidth="1"/>
    <col min="10" max="10" width="10.85546875" style="1" customWidth="1"/>
    <col min="11" max="11" width="27.140625" style="1" customWidth="1"/>
    <col min="12" max="12" width="13.7109375" style="1" customWidth="1"/>
    <col min="13" max="13" width="6" style="1" customWidth="1"/>
    <col min="14" max="14" width="3.7109375" style="1" customWidth="1"/>
    <col min="15" max="15" width="38.5703125" style="2" customWidth="1"/>
    <col min="16" max="217" width="9.140625" style="1"/>
    <col min="218" max="218" width="11.5703125" style="1" customWidth="1"/>
    <col min="219" max="219" width="12" style="1" customWidth="1"/>
    <col min="220" max="220" width="22.42578125" style="1" bestFit="1" customWidth="1"/>
    <col min="221" max="221" width="11.42578125" style="1" customWidth="1"/>
    <col min="222" max="222" width="46.42578125" style="1" bestFit="1" customWidth="1"/>
    <col min="223" max="223" width="15.7109375" style="1" customWidth="1"/>
    <col min="224" max="224" width="44" style="1" bestFit="1" customWidth="1"/>
    <col min="225" max="225" width="6.5703125" style="1" customWidth="1"/>
    <col min="226" max="226" width="6.85546875" style="1" customWidth="1"/>
    <col min="227" max="227" width="10.85546875" style="1" customWidth="1"/>
    <col min="228" max="228" width="38.28515625" style="1" customWidth="1"/>
    <col min="229" max="229" width="13.7109375" style="1" customWidth="1"/>
    <col min="230" max="230" width="6" style="1" customWidth="1"/>
    <col min="231" max="231" width="3.7109375" style="1" customWidth="1"/>
    <col min="232" max="232" width="38.5703125" style="1" customWidth="1"/>
    <col min="233" max="473" width="9.140625" style="1"/>
    <col min="474" max="474" width="11.5703125" style="1" customWidth="1"/>
    <col min="475" max="475" width="12" style="1" customWidth="1"/>
    <col min="476" max="476" width="22.42578125" style="1" bestFit="1" customWidth="1"/>
    <col min="477" max="477" width="11.42578125" style="1" customWidth="1"/>
    <col min="478" max="478" width="46.42578125" style="1" bestFit="1" customWidth="1"/>
    <col min="479" max="479" width="15.7109375" style="1" customWidth="1"/>
    <col min="480" max="480" width="44" style="1" bestFit="1" customWidth="1"/>
    <col min="481" max="481" width="6.5703125" style="1" customWidth="1"/>
    <col min="482" max="482" width="6.85546875" style="1" customWidth="1"/>
    <col min="483" max="483" width="10.85546875" style="1" customWidth="1"/>
    <col min="484" max="484" width="38.28515625" style="1" customWidth="1"/>
    <col min="485" max="485" width="13.7109375" style="1" customWidth="1"/>
    <col min="486" max="486" width="6" style="1" customWidth="1"/>
    <col min="487" max="487" width="3.7109375" style="1" customWidth="1"/>
    <col min="488" max="488" width="38.5703125" style="1" customWidth="1"/>
    <col min="489" max="729" width="9.140625" style="1"/>
    <col min="730" max="730" width="11.5703125" style="1" customWidth="1"/>
    <col min="731" max="731" width="12" style="1" customWidth="1"/>
    <col min="732" max="732" width="22.42578125" style="1" bestFit="1" customWidth="1"/>
    <col min="733" max="733" width="11.42578125" style="1" customWidth="1"/>
    <col min="734" max="734" width="46.42578125" style="1" bestFit="1" customWidth="1"/>
    <col min="735" max="735" width="15.7109375" style="1" customWidth="1"/>
    <col min="736" max="736" width="44" style="1" bestFit="1" customWidth="1"/>
    <col min="737" max="737" width="6.5703125" style="1" customWidth="1"/>
    <col min="738" max="738" width="6.85546875" style="1" customWidth="1"/>
    <col min="739" max="739" width="10.85546875" style="1" customWidth="1"/>
    <col min="740" max="740" width="38.28515625" style="1" customWidth="1"/>
    <col min="741" max="741" width="13.7109375" style="1" customWidth="1"/>
    <col min="742" max="742" width="6" style="1" customWidth="1"/>
    <col min="743" max="743" width="3.7109375" style="1" customWidth="1"/>
    <col min="744" max="744" width="38.5703125" style="1" customWidth="1"/>
    <col min="745" max="985" width="9.140625" style="1"/>
    <col min="986" max="986" width="11.5703125" style="1" customWidth="1"/>
    <col min="987" max="987" width="12" style="1" customWidth="1"/>
    <col min="988" max="988" width="22.42578125" style="1" bestFit="1" customWidth="1"/>
    <col min="989" max="989" width="11.42578125" style="1" customWidth="1"/>
    <col min="990" max="990" width="46.42578125" style="1" bestFit="1" customWidth="1"/>
    <col min="991" max="991" width="15.7109375" style="1" customWidth="1"/>
    <col min="992" max="992" width="44" style="1" bestFit="1" customWidth="1"/>
    <col min="993" max="993" width="6.5703125" style="1" customWidth="1"/>
    <col min="994" max="994" width="6.85546875" style="1" customWidth="1"/>
    <col min="995" max="995" width="10.85546875" style="1" customWidth="1"/>
    <col min="996" max="996" width="38.28515625" style="1" customWidth="1"/>
    <col min="997" max="997" width="13.7109375" style="1" customWidth="1"/>
    <col min="998" max="998" width="6" style="1" customWidth="1"/>
    <col min="999" max="999" width="3.7109375" style="1" customWidth="1"/>
    <col min="1000" max="1000" width="38.5703125" style="1" customWidth="1"/>
    <col min="1001" max="1241" width="9.140625" style="1"/>
    <col min="1242" max="1242" width="11.5703125" style="1" customWidth="1"/>
    <col min="1243" max="1243" width="12" style="1" customWidth="1"/>
    <col min="1244" max="1244" width="22.42578125" style="1" bestFit="1" customWidth="1"/>
    <col min="1245" max="1245" width="11.42578125" style="1" customWidth="1"/>
    <col min="1246" max="1246" width="46.42578125" style="1" bestFit="1" customWidth="1"/>
    <col min="1247" max="1247" width="15.7109375" style="1" customWidth="1"/>
    <col min="1248" max="1248" width="44" style="1" bestFit="1" customWidth="1"/>
    <col min="1249" max="1249" width="6.5703125" style="1" customWidth="1"/>
    <col min="1250" max="1250" width="6.85546875" style="1" customWidth="1"/>
    <col min="1251" max="1251" width="10.85546875" style="1" customWidth="1"/>
    <col min="1252" max="1252" width="38.28515625" style="1" customWidth="1"/>
    <col min="1253" max="1253" width="13.7109375" style="1" customWidth="1"/>
    <col min="1254" max="1254" width="6" style="1" customWidth="1"/>
    <col min="1255" max="1255" width="3.7109375" style="1" customWidth="1"/>
    <col min="1256" max="1256" width="38.5703125" style="1" customWidth="1"/>
    <col min="1257" max="1497" width="9.140625" style="1"/>
    <col min="1498" max="1498" width="11.5703125" style="1" customWidth="1"/>
    <col min="1499" max="1499" width="12" style="1" customWidth="1"/>
    <col min="1500" max="1500" width="22.42578125" style="1" bestFit="1" customWidth="1"/>
    <col min="1501" max="1501" width="11.42578125" style="1" customWidth="1"/>
    <col min="1502" max="1502" width="46.42578125" style="1" bestFit="1" customWidth="1"/>
    <col min="1503" max="1503" width="15.7109375" style="1" customWidth="1"/>
    <col min="1504" max="1504" width="44" style="1" bestFit="1" customWidth="1"/>
    <col min="1505" max="1505" width="6.5703125" style="1" customWidth="1"/>
    <col min="1506" max="1506" width="6.85546875" style="1" customWidth="1"/>
    <col min="1507" max="1507" width="10.85546875" style="1" customWidth="1"/>
    <col min="1508" max="1508" width="38.28515625" style="1" customWidth="1"/>
    <col min="1509" max="1509" width="13.7109375" style="1" customWidth="1"/>
    <col min="1510" max="1510" width="6" style="1" customWidth="1"/>
    <col min="1511" max="1511" width="3.7109375" style="1" customWidth="1"/>
    <col min="1512" max="1512" width="38.5703125" style="1" customWidth="1"/>
    <col min="1513" max="1753" width="9.140625" style="1"/>
    <col min="1754" max="1754" width="11.5703125" style="1" customWidth="1"/>
    <col min="1755" max="1755" width="12" style="1" customWidth="1"/>
    <col min="1756" max="1756" width="22.42578125" style="1" bestFit="1" customWidth="1"/>
    <col min="1757" max="1757" width="11.42578125" style="1" customWidth="1"/>
    <col min="1758" max="1758" width="46.42578125" style="1" bestFit="1" customWidth="1"/>
    <col min="1759" max="1759" width="15.7109375" style="1" customWidth="1"/>
    <col min="1760" max="1760" width="44" style="1" bestFit="1" customWidth="1"/>
    <col min="1761" max="1761" width="6.5703125" style="1" customWidth="1"/>
    <col min="1762" max="1762" width="6.85546875" style="1" customWidth="1"/>
    <col min="1763" max="1763" width="10.85546875" style="1" customWidth="1"/>
    <col min="1764" max="1764" width="38.28515625" style="1" customWidth="1"/>
    <col min="1765" max="1765" width="13.7109375" style="1" customWidth="1"/>
    <col min="1766" max="1766" width="6" style="1" customWidth="1"/>
    <col min="1767" max="1767" width="3.7109375" style="1" customWidth="1"/>
    <col min="1768" max="1768" width="38.5703125" style="1" customWidth="1"/>
    <col min="1769" max="2009" width="9.140625" style="1"/>
    <col min="2010" max="2010" width="11.5703125" style="1" customWidth="1"/>
    <col min="2011" max="2011" width="12" style="1" customWidth="1"/>
    <col min="2012" max="2012" width="22.42578125" style="1" bestFit="1" customWidth="1"/>
    <col min="2013" max="2013" width="11.42578125" style="1" customWidth="1"/>
    <col min="2014" max="2014" width="46.42578125" style="1" bestFit="1" customWidth="1"/>
    <col min="2015" max="2015" width="15.7109375" style="1" customWidth="1"/>
    <col min="2016" max="2016" width="44" style="1" bestFit="1" customWidth="1"/>
    <col min="2017" max="2017" width="6.5703125" style="1" customWidth="1"/>
    <col min="2018" max="2018" width="6.85546875" style="1" customWidth="1"/>
    <col min="2019" max="2019" width="10.85546875" style="1" customWidth="1"/>
    <col min="2020" max="2020" width="38.28515625" style="1" customWidth="1"/>
    <col min="2021" max="2021" width="13.7109375" style="1" customWidth="1"/>
    <col min="2022" max="2022" width="6" style="1" customWidth="1"/>
    <col min="2023" max="2023" width="3.7109375" style="1" customWidth="1"/>
    <col min="2024" max="2024" width="38.5703125" style="1" customWidth="1"/>
    <col min="2025" max="2265" width="9.140625" style="1"/>
    <col min="2266" max="2266" width="11.5703125" style="1" customWidth="1"/>
    <col min="2267" max="2267" width="12" style="1" customWidth="1"/>
    <col min="2268" max="2268" width="22.42578125" style="1" bestFit="1" customWidth="1"/>
    <col min="2269" max="2269" width="11.42578125" style="1" customWidth="1"/>
    <col min="2270" max="2270" width="46.42578125" style="1" bestFit="1" customWidth="1"/>
    <col min="2271" max="2271" width="15.7109375" style="1" customWidth="1"/>
    <col min="2272" max="2272" width="44" style="1" bestFit="1" customWidth="1"/>
    <col min="2273" max="2273" width="6.5703125" style="1" customWidth="1"/>
    <col min="2274" max="2274" width="6.85546875" style="1" customWidth="1"/>
    <col min="2275" max="2275" width="10.85546875" style="1" customWidth="1"/>
    <col min="2276" max="2276" width="38.28515625" style="1" customWidth="1"/>
    <col min="2277" max="2277" width="13.7109375" style="1" customWidth="1"/>
    <col min="2278" max="2278" width="6" style="1" customWidth="1"/>
    <col min="2279" max="2279" width="3.7109375" style="1" customWidth="1"/>
    <col min="2280" max="2280" width="38.5703125" style="1" customWidth="1"/>
    <col min="2281" max="2521" width="9.140625" style="1"/>
    <col min="2522" max="2522" width="11.5703125" style="1" customWidth="1"/>
    <col min="2523" max="2523" width="12" style="1" customWidth="1"/>
    <col min="2524" max="2524" width="22.42578125" style="1" bestFit="1" customWidth="1"/>
    <col min="2525" max="2525" width="11.42578125" style="1" customWidth="1"/>
    <col min="2526" max="2526" width="46.42578125" style="1" bestFit="1" customWidth="1"/>
    <col min="2527" max="2527" width="15.7109375" style="1" customWidth="1"/>
    <col min="2528" max="2528" width="44" style="1" bestFit="1" customWidth="1"/>
    <col min="2529" max="2529" width="6.5703125" style="1" customWidth="1"/>
    <col min="2530" max="2530" width="6.85546875" style="1" customWidth="1"/>
    <col min="2531" max="2531" width="10.85546875" style="1" customWidth="1"/>
    <col min="2532" max="2532" width="38.28515625" style="1" customWidth="1"/>
    <col min="2533" max="2533" width="13.7109375" style="1" customWidth="1"/>
    <col min="2534" max="2534" width="6" style="1" customWidth="1"/>
    <col min="2535" max="2535" width="3.7109375" style="1" customWidth="1"/>
    <col min="2536" max="2536" width="38.5703125" style="1" customWidth="1"/>
    <col min="2537" max="2777" width="9.140625" style="1"/>
    <col min="2778" max="2778" width="11.5703125" style="1" customWidth="1"/>
    <col min="2779" max="2779" width="12" style="1" customWidth="1"/>
    <col min="2780" max="2780" width="22.42578125" style="1" bestFit="1" customWidth="1"/>
    <col min="2781" max="2781" width="11.42578125" style="1" customWidth="1"/>
    <col min="2782" max="2782" width="46.42578125" style="1" bestFit="1" customWidth="1"/>
    <col min="2783" max="2783" width="15.7109375" style="1" customWidth="1"/>
    <col min="2784" max="2784" width="44" style="1" bestFit="1" customWidth="1"/>
    <col min="2785" max="2785" width="6.5703125" style="1" customWidth="1"/>
    <col min="2786" max="2786" width="6.85546875" style="1" customWidth="1"/>
    <col min="2787" max="2787" width="10.85546875" style="1" customWidth="1"/>
    <col min="2788" max="2788" width="38.28515625" style="1" customWidth="1"/>
    <col min="2789" max="2789" width="13.7109375" style="1" customWidth="1"/>
    <col min="2790" max="2790" width="6" style="1" customWidth="1"/>
    <col min="2791" max="2791" width="3.7109375" style="1" customWidth="1"/>
    <col min="2792" max="2792" width="38.5703125" style="1" customWidth="1"/>
    <col min="2793" max="3033" width="9.140625" style="1"/>
    <col min="3034" max="3034" width="11.5703125" style="1" customWidth="1"/>
    <col min="3035" max="3035" width="12" style="1" customWidth="1"/>
    <col min="3036" max="3036" width="22.42578125" style="1" bestFit="1" customWidth="1"/>
    <col min="3037" max="3037" width="11.42578125" style="1" customWidth="1"/>
    <col min="3038" max="3038" width="46.42578125" style="1" bestFit="1" customWidth="1"/>
    <col min="3039" max="3039" width="15.7109375" style="1" customWidth="1"/>
    <col min="3040" max="3040" width="44" style="1" bestFit="1" customWidth="1"/>
    <col min="3041" max="3041" width="6.5703125" style="1" customWidth="1"/>
    <col min="3042" max="3042" width="6.85546875" style="1" customWidth="1"/>
    <col min="3043" max="3043" width="10.85546875" style="1" customWidth="1"/>
    <col min="3044" max="3044" width="38.28515625" style="1" customWidth="1"/>
    <col min="3045" max="3045" width="13.7109375" style="1" customWidth="1"/>
    <col min="3046" max="3046" width="6" style="1" customWidth="1"/>
    <col min="3047" max="3047" width="3.7109375" style="1" customWidth="1"/>
    <col min="3048" max="3048" width="38.5703125" style="1" customWidth="1"/>
    <col min="3049" max="3289" width="9.140625" style="1"/>
    <col min="3290" max="3290" width="11.5703125" style="1" customWidth="1"/>
    <col min="3291" max="3291" width="12" style="1" customWidth="1"/>
    <col min="3292" max="3292" width="22.42578125" style="1" bestFit="1" customWidth="1"/>
    <col min="3293" max="3293" width="11.42578125" style="1" customWidth="1"/>
    <col min="3294" max="3294" width="46.42578125" style="1" bestFit="1" customWidth="1"/>
    <col min="3295" max="3295" width="15.7109375" style="1" customWidth="1"/>
    <col min="3296" max="3296" width="44" style="1" bestFit="1" customWidth="1"/>
    <col min="3297" max="3297" width="6.5703125" style="1" customWidth="1"/>
    <col min="3298" max="3298" width="6.85546875" style="1" customWidth="1"/>
    <col min="3299" max="3299" width="10.85546875" style="1" customWidth="1"/>
    <col min="3300" max="3300" width="38.28515625" style="1" customWidth="1"/>
    <col min="3301" max="3301" width="13.7109375" style="1" customWidth="1"/>
    <col min="3302" max="3302" width="6" style="1" customWidth="1"/>
    <col min="3303" max="3303" width="3.7109375" style="1" customWidth="1"/>
    <col min="3304" max="3304" width="38.5703125" style="1" customWidth="1"/>
    <col min="3305" max="3545" width="9.140625" style="1"/>
    <col min="3546" max="3546" width="11.5703125" style="1" customWidth="1"/>
    <col min="3547" max="3547" width="12" style="1" customWidth="1"/>
    <col min="3548" max="3548" width="22.42578125" style="1" bestFit="1" customWidth="1"/>
    <col min="3549" max="3549" width="11.42578125" style="1" customWidth="1"/>
    <col min="3550" max="3550" width="46.42578125" style="1" bestFit="1" customWidth="1"/>
    <col min="3551" max="3551" width="15.7109375" style="1" customWidth="1"/>
    <col min="3552" max="3552" width="44" style="1" bestFit="1" customWidth="1"/>
    <col min="3553" max="3553" width="6.5703125" style="1" customWidth="1"/>
    <col min="3554" max="3554" width="6.85546875" style="1" customWidth="1"/>
    <col min="3555" max="3555" width="10.85546875" style="1" customWidth="1"/>
    <col min="3556" max="3556" width="38.28515625" style="1" customWidth="1"/>
    <col min="3557" max="3557" width="13.7109375" style="1" customWidth="1"/>
    <col min="3558" max="3558" width="6" style="1" customWidth="1"/>
    <col min="3559" max="3559" width="3.7109375" style="1" customWidth="1"/>
    <col min="3560" max="3560" width="38.5703125" style="1" customWidth="1"/>
    <col min="3561" max="3801" width="9.140625" style="1"/>
    <col min="3802" max="3802" width="11.5703125" style="1" customWidth="1"/>
    <col min="3803" max="3803" width="12" style="1" customWidth="1"/>
    <col min="3804" max="3804" width="22.42578125" style="1" bestFit="1" customWidth="1"/>
    <col min="3805" max="3805" width="11.42578125" style="1" customWidth="1"/>
    <col min="3806" max="3806" width="46.42578125" style="1" bestFit="1" customWidth="1"/>
    <col min="3807" max="3807" width="15.7109375" style="1" customWidth="1"/>
    <col min="3808" max="3808" width="44" style="1" bestFit="1" customWidth="1"/>
    <col min="3809" max="3809" width="6.5703125" style="1" customWidth="1"/>
    <col min="3810" max="3810" width="6.85546875" style="1" customWidth="1"/>
    <col min="3811" max="3811" width="10.85546875" style="1" customWidth="1"/>
    <col min="3812" max="3812" width="38.28515625" style="1" customWidth="1"/>
    <col min="3813" max="3813" width="13.7109375" style="1" customWidth="1"/>
    <col min="3814" max="3814" width="6" style="1" customWidth="1"/>
    <col min="3815" max="3815" width="3.7109375" style="1" customWidth="1"/>
    <col min="3816" max="3816" width="38.5703125" style="1" customWidth="1"/>
    <col min="3817" max="4057" width="9.140625" style="1"/>
    <col min="4058" max="4058" width="11.5703125" style="1" customWidth="1"/>
    <col min="4059" max="4059" width="12" style="1" customWidth="1"/>
    <col min="4060" max="4060" width="22.42578125" style="1" bestFit="1" customWidth="1"/>
    <col min="4061" max="4061" width="11.42578125" style="1" customWidth="1"/>
    <col min="4062" max="4062" width="46.42578125" style="1" bestFit="1" customWidth="1"/>
    <col min="4063" max="4063" width="15.7109375" style="1" customWidth="1"/>
    <col min="4064" max="4064" width="44" style="1" bestFit="1" customWidth="1"/>
    <col min="4065" max="4065" width="6.5703125" style="1" customWidth="1"/>
    <col min="4066" max="4066" width="6.85546875" style="1" customWidth="1"/>
    <col min="4067" max="4067" width="10.85546875" style="1" customWidth="1"/>
    <col min="4068" max="4068" width="38.28515625" style="1" customWidth="1"/>
    <col min="4069" max="4069" width="13.7109375" style="1" customWidth="1"/>
    <col min="4070" max="4070" width="6" style="1" customWidth="1"/>
    <col min="4071" max="4071" width="3.7109375" style="1" customWidth="1"/>
    <col min="4072" max="4072" width="38.5703125" style="1" customWidth="1"/>
    <col min="4073" max="4313" width="9.140625" style="1"/>
    <col min="4314" max="4314" width="11.5703125" style="1" customWidth="1"/>
    <col min="4315" max="4315" width="12" style="1" customWidth="1"/>
    <col min="4316" max="4316" width="22.42578125" style="1" bestFit="1" customWidth="1"/>
    <col min="4317" max="4317" width="11.42578125" style="1" customWidth="1"/>
    <col min="4318" max="4318" width="46.42578125" style="1" bestFit="1" customWidth="1"/>
    <col min="4319" max="4319" width="15.7109375" style="1" customWidth="1"/>
    <col min="4320" max="4320" width="44" style="1" bestFit="1" customWidth="1"/>
    <col min="4321" max="4321" width="6.5703125" style="1" customWidth="1"/>
    <col min="4322" max="4322" width="6.85546875" style="1" customWidth="1"/>
    <col min="4323" max="4323" width="10.85546875" style="1" customWidth="1"/>
    <col min="4324" max="4324" width="38.28515625" style="1" customWidth="1"/>
    <col min="4325" max="4325" width="13.7109375" style="1" customWidth="1"/>
    <col min="4326" max="4326" width="6" style="1" customWidth="1"/>
    <col min="4327" max="4327" width="3.7109375" style="1" customWidth="1"/>
    <col min="4328" max="4328" width="38.5703125" style="1" customWidth="1"/>
    <col min="4329" max="4569" width="9.140625" style="1"/>
    <col min="4570" max="4570" width="11.5703125" style="1" customWidth="1"/>
    <col min="4571" max="4571" width="12" style="1" customWidth="1"/>
    <col min="4572" max="4572" width="22.42578125" style="1" bestFit="1" customWidth="1"/>
    <col min="4573" max="4573" width="11.42578125" style="1" customWidth="1"/>
    <col min="4574" max="4574" width="46.42578125" style="1" bestFit="1" customWidth="1"/>
    <col min="4575" max="4575" width="15.7109375" style="1" customWidth="1"/>
    <col min="4576" max="4576" width="44" style="1" bestFit="1" customWidth="1"/>
    <col min="4577" max="4577" width="6.5703125" style="1" customWidth="1"/>
    <col min="4578" max="4578" width="6.85546875" style="1" customWidth="1"/>
    <col min="4579" max="4579" width="10.85546875" style="1" customWidth="1"/>
    <col min="4580" max="4580" width="38.28515625" style="1" customWidth="1"/>
    <col min="4581" max="4581" width="13.7109375" style="1" customWidth="1"/>
    <col min="4582" max="4582" width="6" style="1" customWidth="1"/>
    <col min="4583" max="4583" width="3.7109375" style="1" customWidth="1"/>
    <col min="4584" max="4584" width="38.5703125" style="1" customWidth="1"/>
    <col min="4585" max="4825" width="9.140625" style="1"/>
    <col min="4826" max="4826" width="11.5703125" style="1" customWidth="1"/>
    <col min="4827" max="4827" width="12" style="1" customWidth="1"/>
    <col min="4828" max="4828" width="22.42578125" style="1" bestFit="1" customWidth="1"/>
    <col min="4829" max="4829" width="11.42578125" style="1" customWidth="1"/>
    <col min="4830" max="4830" width="46.42578125" style="1" bestFit="1" customWidth="1"/>
    <col min="4831" max="4831" width="15.7109375" style="1" customWidth="1"/>
    <col min="4832" max="4832" width="44" style="1" bestFit="1" customWidth="1"/>
    <col min="4833" max="4833" width="6.5703125" style="1" customWidth="1"/>
    <col min="4834" max="4834" width="6.85546875" style="1" customWidth="1"/>
    <col min="4835" max="4835" width="10.85546875" style="1" customWidth="1"/>
    <col min="4836" max="4836" width="38.28515625" style="1" customWidth="1"/>
    <col min="4837" max="4837" width="13.7109375" style="1" customWidth="1"/>
    <col min="4838" max="4838" width="6" style="1" customWidth="1"/>
    <col min="4839" max="4839" width="3.7109375" style="1" customWidth="1"/>
    <col min="4840" max="4840" width="38.5703125" style="1" customWidth="1"/>
    <col min="4841" max="5081" width="9.140625" style="1"/>
    <col min="5082" max="5082" width="11.5703125" style="1" customWidth="1"/>
    <col min="5083" max="5083" width="12" style="1" customWidth="1"/>
    <col min="5084" max="5084" width="22.42578125" style="1" bestFit="1" customWidth="1"/>
    <col min="5085" max="5085" width="11.42578125" style="1" customWidth="1"/>
    <col min="5086" max="5086" width="46.42578125" style="1" bestFit="1" customWidth="1"/>
    <col min="5087" max="5087" width="15.7109375" style="1" customWidth="1"/>
    <col min="5088" max="5088" width="44" style="1" bestFit="1" customWidth="1"/>
    <col min="5089" max="5089" width="6.5703125" style="1" customWidth="1"/>
    <col min="5090" max="5090" width="6.85546875" style="1" customWidth="1"/>
    <col min="5091" max="5091" width="10.85546875" style="1" customWidth="1"/>
    <col min="5092" max="5092" width="38.28515625" style="1" customWidth="1"/>
    <col min="5093" max="5093" width="13.7109375" style="1" customWidth="1"/>
    <col min="5094" max="5094" width="6" style="1" customWidth="1"/>
    <col min="5095" max="5095" width="3.7109375" style="1" customWidth="1"/>
    <col min="5096" max="5096" width="38.5703125" style="1" customWidth="1"/>
    <col min="5097" max="5337" width="9.140625" style="1"/>
    <col min="5338" max="5338" width="11.5703125" style="1" customWidth="1"/>
    <col min="5339" max="5339" width="12" style="1" customWidth="1"/>
    <col min="5340" max="5340" width="22.42578125" style="1" bestFit="1" customWidth="1"/>
    <col min="5341" max="5341" width="11.42578125" style="1" customWidth="1"/>
    <col min="5342" max="5342" width="46.42578125" style="1" bestFit="1" customWidth="1"/>
    <col min="5343" max="5343" width="15.7109375" style="1" customWidth="1"/>
    <col min="5344" max="5344" width="44" style="1" bestFit="1" customWidth="1"/>
    <col min="5345" max="5345" width="6.5703125" style="1" customWidth="1"/>
    <col min="5346" max="5346" width="6.85546875" style="1" customWidth="1"/>
    <col min="5347" max="5347" width="10.85546875" style="1" customWidth="1"/>
    <col min="5348" max="5348" width="38.28515625" style="1" customWidth="1"/>
    <col min="5349" max="5349" width="13.7109375" style="1" customWidth="1"/>
    <col min="5350" max="5350" width="6" style="1" customWidth="1"/>
    <col min="5351" max="5351" width="3.7109375" style="1" customWidth="1"/>
    <col min="5352" max="5352" width="38.5703125" style="1" customWidth="1"/>
    <col min="5353" max="5593" width="9.140625" style="1"/>
    <col min="5594" max="5594" width="11.5703125" style="1" customWidth="1"/>
    <col min="5595" max="5595" width="12" style="1" customWidth="1"/>
    <col min="5596" max="5596" width="22.42578125" style="1" bestFit="1" customWidth="1"/>
    <col min="5597" max="5597" width="11.42578125" style="1" customWidth="1"/>
    <col min="5598" max="5598" width="46.42578125" style="1" bestFit="1" customWidth="1"/>
    <col min="5599" max="5599" width="15.7109375" style="1" customWidth="1"/>
    <col min="5600" max="5600" width="44" style="1" bestFit="1" customWidth="1"/>
    <col min="5601" max="5601" width="6.5703125" style="1" customWidth="1"/>
    <col min="5602" max="5602" width="6.85546875" style="1" customWidth="1"/>
    <col min="5603" max="5603" width="10.85546875" style="1" customWidth="1"/>
    <col min="5604" max="5604" width="38.28515625" style="1" customWidth="1"/>
    <col min="5605" max="5605" width="13.7109375" style="1" customWidth="1"/>
    <col min="5606" max="5606" width="6" style="1" customWidth="1"/>
    <col min="5607" max="5607" width="3.7109375" style="1" customWidth="1"/>
    <col min="5608" max="5608" width="38.5703125" style="1" customWidth="1"/>
    <col min="5609" max="5849" width="9.140625" style="1"/>
    <col min="5850" max="5850" width="11.5703125" style="1" customWidth="1"/>
    <col min="5851" max="5851" width="12" style="1" customWidth="1"/>
    <col min="5852" max="5852" width="22.42578125" style="1" bestFit="1" customWidth="1"/>
    <col min="5853" max="5853" width="11.42578125" style="1" customWidth="1"/>
    <col min="5854" max="5854" width="46.42578125" style="1" bestFit="1" customWidth="1"/>
    <col min="5855" max="5855" width="15.7109375" style="1" customWidth="1"/>
    <col min="5856" max="5856" width="44" style="1" bestFit="1" customWidth="1"/>
    <col min="5857" max="5857" width="6.5703125" style="1" customWidth="1"/>
    <col min="5858" max="5858" width="6.85546875" style="1" customWidth="1"/>
    <col min="5859" max="5859" width="10.85546875" style="1" customWidth="1"/>
    <col min="5860" max="5860" width="38.28515625" style="1" customWidth="1"/>
    <col min="5861" max="5861" width="13.7109375" style="1" customWidth="1"/>
    <col min="5862" max="5862" width="6" style="1" customWidth="1"/>
    <col min="5863" max="5863" width="3.7109375" style="1" customWidth="1"/>
    <col min="5864" max="5864" width="38.5703125" style="1" customWidth="1"/>
    <col min="5865" max="6105" width="9.140625" style="1"/>
    <col min="6106" max="6106" width="11.5703125" style="1" customWidth="1"/>
    <col min="6107" max="6107" width="12" style="1" customWidth="1"/>
    <col min="6108" max="6108" width="22.42578125" style="1" bestFit="1" customWidth="1"/>
    <col min="6109" max="6109" width="11.42578125" style="1" customWidth="1"/>
    <col min="6110" max="6110" width="46.42578125" style="1" bestFit="1" customWidth="1"/>
    <col min="6111" max="6111" width="15.7109375" style="1" customWidth="1"/>
    <col min="6112" max="6112" width="44" style="1" bestFit="1" customWidth="1"/>
    <col min="6113" max="6113" width="6.5703125" style="1" customWidth="1"/>
    <col min="6114" max="6114" width="6.85546875" style="1" customWidth="1"/>
    <col min="6115" max="6115" width="10.85546875" style="1" customWidth="1"/>
    <col min="6116" max="6116" width="38.28515625" style="1" customWidth="1"/>
    <col min="6117" max="6117" width="13.7109375" style="1" customWidth="1"/>
    <col min="6118" max="6118" width="6" style="1" customWidth="1"/>
    <col min="6119" max="6119" width="3.7109375" style="1" customWidth="1"/>
    <col min="6120" max="6120" width="38.5703125" style="1" customWidth="1"/>
    <col min="6121" max="6361" width="9.140625" style="1"/>
    <col min="6362" max="6362" width="11.5703125" style="1" customWidth="1"/>
    <col min="6363" max="6363" width="12" style="1" customWidth="1"/>
    <col min="6364" max="6364" width="22.42578125" style="1" bestFit="1" customWidth="1"/>
    <col min="6365" max="6365" width="11.42578125" style="1" customWidth="1"/>
    <col min="6366" max="6366" width="46.42578125" style="1" bestFit="1" customWidth="1"/>
    <col min="6367" max="6367" width="15.7109375" style="1" customWidth="1"/>
    <col min="6368" max="6368" width="44" style="1" bestFit="1" customWidth="1"/>
    <col min="6369" max="6369" width="6.5703125" style="1" customWidth="1"/>
    <col min="6370" max="6370" width="6.85546875" style="1" customWidth="1"/>
    <col min="6371" max="6371" width="10.85546875" style="1" customWidth="1"/>
    <col min="6372" max="6372" width="38.28515625" style="1" customWidth="1"/>
    <col min="6373" max="6373" width="13.7109375" style="1" customWidth="1"/>
    <col min="6374" max="6374" width="6" style="1" customWidth="1"/>
    <col min="6375" max="6375" width="3.7109375" style="1" customWidth="1"/>
    <col min="6376" max="6376" width="38.5703125" style="1" customWidth="1"/>
    <col min="6377" max="6617" width="9.140625" style="1"/>
    <col min="6618" max="6618" width="11.5703125" style="1" customWidth="1"/>
    <col min="6619" max="6619" width="12" style="1" customWidth="1"/>
    <col min="6620" max="6620" width="22.42578125" style="1" bestFit="1" customWidth="1"/>
    <col min="6621" max="6621" width="11.42578125" style="1" customWidth="1"/>
    <col min="6622" max="6622" width="46.42578125" style="1" bestFit="1" customWidth="1"/>
    <col min="6623" max="6623" width="15.7109375" style="1" customWidth="1"/>
    <col min="6624" max="6624" width="44" style="1" bestFit="1" customWidth="1"/>
    <col min="6625" max="6625" width="6.5703125" style="1" customWidth="1"/>
    <col min="6626" max="6626" width="6.85546875" style="1" customWidth="1"/>
    <col min="6627" max="6627" width="10.85546875" style="1" customWidth="1"/>
    <col min="6628" max="6628" width="38.28515625" style="1" customWidth="1"/>
    <col min="6629" max="6629" width="13.7109375" style="1" customWidth="1"/>
    <col min="6630" max="6630" width="6" style="1" customWidth="1"/>
    <col min="6631" max="6631" width="3.7109375" style="1" customWidth="1"/>
    <col min="6632" max="6632" width="38.5703125" style="1" customWidth="1"/>
    <col min="6633" max="6873" width="9.140625" style="1"/>
    <col min="6874" max="6874" width="11.5703125" style="1" customWidth="1"/>
    <col min="6875" max="6875" width="12" style="1" customWidth="1"/>
    <col min="6876" max="6876" width="22.42578125" style="1" bestFit="1" customWidth="1"/>
    <col min="6877" max="6877" width="11.42578125" style="1" customWidth="1"/>
    <col min="6878" max="6878" width="46.42578125" style="1" bestFit="1" customWidth="1"/>
    <col min="6879" max="6879" width="15.7109375" style="1" customWidth="1"/>
    <col min="6880" max="6880" width="44" style="1" bestFit="1" customWidth="1"/>
    <col min="6881" max="6881" width="6.5703125" style="1" customWidth="1"/>
    <col min="6882" max="6882" width="6.85546875" style="1" customWidth="1"/>
    <col min="6883" max="6883" width="10.85546875" style="1" customWidth="1"/>
    <col min="6884" max="6884" width="38.28515625" style="1" customWidth="1"/>
    <col min="6885" max="6885" width="13.7109375" style="1" customWidth="1"/>
    <col min="6886" max="6886" width="6" style="1" customWidth="1"/>
    <col min="6887" max="6887" width="3.7109375" style="1" customWidth="1"/>
    <col min="6888" max="6888" width="38.5703125" style="1" customWidth="1"/>
    <col min="6889" max="7129" width="9.140625" style="1"/>
    <col min="7130" max="7130" width="11.5703125" style="1" customWidth="1"/>
    <col min="7131" max="7131" width="12" style="1" customWidth="1"/>
    <col min="7132" max="7132" width="22.42578125" style="1" bestFit="1" customWidth="1"/>
    <col min="7133" max="7133" width="11.42578125" style="1" customWidth="1"/>
    <col min="7134" max="7134" width="46.42578125" style="1" bestFit="1" customWidth="1"/>
    <col min="7135" max="7135" width="15.7109375" style="1" customWidth="1"/>
    <col min="7136" max="7136" width="44" style="1" bestFit="1" customWidth="1"/>
    <col min="7137" max="7137" width="6.5703125" style="1" customWidth="1"/>
    <col min="7138" max="7138" width="6.85546875" style="1" customWidth="1"/>
    <col min="7139" max="7139" width="10.85546875" style="1" customWidth="1"/>
    <col min="7140" max="7140" width="38.28515625" style="1" customWidth="1"/>
    <col min="7141" max="7141" width="13.7109375" style="1" customWidth="1"/>
    <col min="7142" max="7142" width="6" style="1" customWidth="1"/>
    <col min="7143" max="7143" width="3.7109375" style="1" customWidth="1"/>
    <col min="7144" max="7144" width="38.5703125" style="1" customWidth="1"/>
    <col min="7145" max="7385" width="9.140625" style="1"/>
    <col min="7386" max="7386" width="11.5703125" style="1" customWidth="1"/>
    <col min="7387" max="7387" width="12" style="1" customWidth="1"/>
    <col min="7388" max="7388" width="22.42578125" style="1" bestFit="1" customWidth="1"/>
    <col min="7389" max="7389" width="11.42578125" style="1" customWidth="1"/>
    <col min="7390" max="7390" width="46.42578125" style="1" bestFit="1" customWidth="1"/>
    <col min="7391" max="7391" width="15.7109375" style="1" customWidth="1"/>
    <col min="7392" max="7392" width="44" style="1" bestFit="1" customWidth="1"/>
    <col min="7393" max="7393" width="6.5703125" style="1" customWidth="1"/>
    <col min="7394" max="7394" width="6.85546875" style="1" customWidth="1"/>
    <col min="7395" max="7395" width="10.85546875" style="1" customWidth="1"/>
    <col min="7396" max="7396" width="38.28515625" style="1" customWidth="1"/>
    <col min="7397" max="7397" width="13.7109375" style="1" customWidth="1"/>
    <col min="7398" max="7398" width="6" style="1" customWidth="1"/>
    <col min="7399" max="7399" width="3.7109375" style="1" customWidth="1"/>
    <col min="7400" max="7400" width="38.5703125" style="1" customWidth="1"/>
    <col min="7401" max="7641" width="9.140625" style="1"/>
    <col min="7642" max="7642" width="11.5703125" style="1" customWidth="1"/>
    <col min="7643" max="7643" width="12" style="1" customWidth="1"/>
    <col min="7644" max="7644" width="22.42578125" style="1" bestFit="1" customWidth="1"/>
    <col min="7645" max="7645" width="11.42578125" style="1" customWidth="1"/>
    <col min="7646" max="7646" width="46.42578125" style="1" bestFit="1" customWidth="1"/>
    <col min="7647" max="7647" width="15.7109375" style="1" customWidth="1"/>
    <col min="7648" max="7648" width="44" style="1" bestFit="1" customWidth="1"/>
    <col min="7649" max="7649" width="6.5703125" style="1" customWidth="1"/>
    <col min="7650" max="7650" width="6.85546875" style="1" customWidth="1"/>
    <col min="7651" max="7651" width="10.85546875" style="1" customWidth="1"/>
    <col min="7652" max="7652" width="38.28515625" style="1" customWidth="1"/>
    <col min="7653" max="7653" width="13.7109375" style="1" customWidth="1"/>
    <col min="7654" max="7654" width="6" style="1" customWidth="1"/>
    <col min="7655" max="7655" width="3.7109375" style="1" customWidth="1"/>
    <col min="7656" max="7656" width="38.5703125" style="1" customWidth="1"/>
    <col min="7657" max="7897" width="9.140625" style="1"/>
    <col min="7898" max="7898" width="11.5703125" style="1" customWidth="1"/>
    <col min="7899" max="7899" width="12" style="1" customWidth="1"/>
    <col min="7900" max="7900" width="22.42578125" style="1" bestFit="1" customWidth="1"/>
    <col min="7901" max="7901" width="11.42578125" style="1" customWidth="1"/>
    <col min="7902" max="7902" width="46.42578125" style="1" bestFit="1" customWidth="1"/>
    <col min="7903" max="7903" width="15.7109375" style="1" customWidth="1"/>
    <col min="7904" max="7904" width="44" style="1" bestFit="1" customWidth="1"/>
    <col min="7905" max="7905" width="6.5703125" style="1" customWidth="1"/>
    <col min="7906" max="7906" width="6.85546875" style="1" customWidth="1"/>
    <col min="7907" max="7907" width="10.85546875" style="1" customWidth="1"/>
    <col min="7908" max="7908" width="38.28515625" style="1" customWidth="1"/>
    <col min="7909" max="7909" width="13.7109375" style="1" customWidth="1"/>
    <col min="7910" max="7910" width="6" style="1" customWidth="1"/>
    <col min="7911" max="7911" width="3.7109375" style="1" customWidth="1"/>
    <col min="7912" max="7912" width="38.5703125" style="1" customWidth="1"/>
    <col min="7913" max="8153" width="9.140625" style="1"/>
    <col min="8154" max="8154" width="11.5703125" style="1" customWidth="1"/>
    <col min="8155" max="8155" width="12" style="1" customWidth="1"/>
    <col min="8156" max="8156" width="22.42578125" style="1" bestFit="1" customWidth="1"/>
    <col min="8157" max="8157" width="11.42578125" style="1" customWidth="1"/>
    <col min="8158" max="8158" width="46.42578125" style="1" bestFit="1" customWidth="1"/>
    <col min="8159" max="8159" width="15.7109375" style="1" customWidth="1"/>
    <col min="8160" max="8160" width="44" style="1" bestFit="1" customWidth="1"/>
    <col min="8161" max="8161" width="6.5703125" style="1" customWidth="1"/>
    <col min="8162" max="8162" width="6.85546875" style="1" customWidth="1"/>
    <col min="8163" max="8163" width="10.85546875" style="1" customWidth="1"/>
    <col min="8164" max="8164" width="38.28515625" style="1" customWidth="1"/>
    <col min="8165" max="8165" width="13.7109375" style="1" customWidth="1"/>
    <col min="8166" max="8166" width="6" style="1" customWidth="1"/>
    <col min="8167" max="8167" width="3.7109375" style="1" customWidth="1"/>
    <col min="8168" max="8168" width="38.5703125" style="1" customWidth="1"/>
    <col min="8169" max="8409" width="9.140625" style="1"/>
    <col min="8410" max="8410" width="11.5703125" style="1" customWidth="1"/>
    <col min="8411" max="8411" width="12" style="1" customWidth="1"/>
    <col min="8412" max="8412" width="22.42578125" style="1" bestFit="1" customWidth="1"/>
    <col min="8413" max="8413" width="11.42578125" style="1" customWidth="1"/>
    <col min="8414" max="8414" width="46.42578125" style="1" bestFit="1" customWidth="1"/>
    <col min="8415" max="8415" width="15.7109375" style="1" customWidth="1"/>
    <col min="8416" max="8416" width="44" style="1" bestFit="1" customWidth="1"/>
    <col min="8417" max="8417" width="6.5703125" style="1" customWidth="1"/>
    <col min="8418" max="8418" width="6.85546875" style="1" customWidth="1"/>
    <col min="8419" max="8419" width="10.85546875" style="1" customWidth="1"/>
    <col min="8420" max="8420" width="38.28515625" style="1" customWidth="1"/>
    <col min="8421" max="8421" width="13.7109375" style="1" customWidth="1"/>
    <col min="8422" max="8422" width="6" style="1" customWidth="1"/>
    <col min="8423" max="8423" width="3.7109375" style="1" customWidth="1"/>
    <col min="8424" max="8424" width="38.5703125" style="1" customWidth="1"/>
    <col min="8425" max="8665" width="9.140625" style="1"/>
    <col min="8666" max="8666" width="11.5703125" style="1" customWidth="1"/>
    <col min="8667" max="8667" width="12" style="1" customWidth="1"/>
    <col min="8668" max="8668" width="22.42578125" style="1" bestFit="1" customWidth="1"/>
    <col min="8669" max="8669" width="11.42578125" style="1" customWidth="1"/>
    <col min="8670" max="8670" width="46.42578125" style="1" bestFit="1" customWidth="1"/>
    <col min="8671" max="8671" width="15.7109375" style="1" customWidth="1"/>
    <col min="8672" max="8672" width="44" style="1" bestFit="1" customWidth="1"/>
    <col min="8673" max="8673" width="6.5703125" style="1" customWidth="1"/>
    <col min="8674" max="8674" width="6.85546875" style="1" customWidth="1"/>
    <col min="8675" max="8675" width="10.85546875" style="1" customWidth="1"/>
    <col min="8676" max="8676" width="38.28515625" style="1" customWidth="1"/>
    <col min="8677" max="8677" width="13.7109375" style="1" customWidth="1"/>
    <col min="8678" max="8678" width="6" style="1" customWidth="1"/>
    <col min="8679" max="8679" width="3.7109375" style="1" customWidth="1"/>
    <col min="8680" max="8680" width="38.5703125" style="1" customWidth="1"/>
    <col min="8681" max="8921" width="9.140625" style="1"/>
    <col min="8922" max="8922" width="11.5703125" style="1" customWidth="1"/>
    <col min="8923" max="8923" width="12" style="1" customWidth="1"/>
    <col min="8924" max="8924" width="22.42578125" style="1" bestFit="1" customWidth="1"/>
    <col min="8925" max="8925" width="11.42578125" style="1" customWidth="1"/>
    <col min="8926" max="8926" width="46.42578125" style="1" bestFit="1" customWidth="1"/>
    <col min="8927" max="8927" width="15.7109375" style="1" customWidth="1"/>
    <col min="8928" max="8928" width="44" style="1" bestFit="1" customWidth="1"/>
    <col min="8929" max="8929" width="6.5703125" style="1" customWidth="1"/>
    <col min="8930" max="8930" width="6.85546875" style="1" customWidth="1"/>
    <col min="8931" max="8931" width="10.85546875" style="1" customWidth="1"/>
    <col min="8932" max="8932" width="38.28515625" style="1" customWidth="1"/>
    <col min="8933" max="8933" width="13.7109375" style="1" customWidth="1"/>
    <col min="8934" max="8934" width="6" style="1" customWidth="1"/>
    <col min="8935" max="8935" width="3.7109375" style="1" customWidth="1"/>
    <col min="8936" max="8936" width="38.5703125" style="1" customWidth="1"/>
    <col min="8937" max="9177" width="9.140625" style="1"/>
    <col min="9178" max="9178" width="11.5703125" style="1" customWidth="1"/>
    <col min="9179" max="9179" width="12" style="1" customWidth="1"/>
    <col min="9180" max="9180" width="22.42578125" style="1" bestFit="1" customWidth="1"/>
    <col min="9181" max="9181" width="11.42578125" style="1" customWidth="1"/>
    <col min="9182" max="9182" width="46.42578125" style="1" bestFit="1" customWidth="1"/>
    <col min="9183" max="9183" width="15.7109375" style="1" customWidth="1"/>
    <col min="9184" max="9184" width="44" style="1" bestFit="1" customWidth="1"/>
    <col min="9185" max="9185" width="6.5703125" style="1" customWidth="1"/>
    <col min="9186" max="9186" width="6.85546875" style="1" customWidth="1"/>
    <col min="9187" max="9187" width="10.85546875" style="1" customWidth="1"/>
    <col min="9188" max="9188" width="38.28515625" style="1" customWidth="1"/>
    <col min="9189" max="9189" width="13.7109375" style="1" customWidth="1"/>
    <col min="9190" max="9190" width="6" style="1" customWidth="1"/>
    <col min="9191" max="9191" width="3.7109375" style="1" customWidth="1"/>
    <col min="9192" max="9192" width="38.5703125" style="1" customWidth="1"/>
    <col min="9193" max="9433" width="9.140625" style="1"/>
    <col min="9434" max="9434" width="11.5703125" style="1" customWidth="1"/>
    <col min="9435" max="9435" width="12" style="1" customWidth="1"/>
    <col min="9436" max="9436" width="22.42578125" style="1" bestFit="1" customWidth="1"/>
    <col min="9437" max="9437" width="11.42578125" style="1" customWidth="1"/>
    <col min="9438" max="9438" width="46.42578125" style="1" bestFit="1" customWidth="1"/>
    <col min="9439" max="9439" width="15.7109375" style="1" customWidth="1"/>
    <col min="9440" max="9440" width="44" style="1" bestFit="1" customWidth="1"/>
    <col min="9441" max="9441" width="6.5703125" style="1" customWidth="1"/>
    <col min="9442" max="9442" width="6.85546875" style="1" customWidth="1"/>
    <col min="9443" max="9443" width="10.85546875" style="1" customWidth="1"/>
    <col min="9444" max="9444" width="38.28515625" style="1" customWidth="1"/>
    <col min="9445" max="9445" width="13.7109375" style="1" customWidth="1"/>
    <col min="9446" max="9446" width="6" style="1" customWidth="1"/>
    <col min="9447" max="9447" width="3.7109375" style="1" customWidth="1"/>
    <col min="9448" max="9448" width="38.5703125" style="1" customWidth="1"/>
    <col min="9449" max="9689" width="9.140625" style="1"/>
    <col min="9690" max="9690" width="11.5703125" style="1" customWidth="1"/>
    <col min="9691" max="9691" width="12" style="1" customWidth="1"/>
    <col min="9692" max="9692" width="22.42578125" style="1" bestFit="1" customWidth="1"/>
    <col min="9693" max="9693" width="11.42578125" style="1" customWidth="1"/>
    <col min="9694" max="9694" width="46.42578125" style="1" bestFit="1" customWidth="1"/>
    <col min="9695" max="9695" width="15.7109375" style="1" customWidth="1"/>
    <col min="9696" max="9696" width="44" style="1" bestFit="1" customWidth="1"/>
    <col min="9697" max="9697" width="6.5703125" style="1" customWidth="1"/>
    <col min="9698" max="9698" width="6.85546875" style="1" customWidth="1"/>
    <col min="9699" max="9699" width="10.85546875" style="1" customWidth="1"/>
    <col min="9700" max="9700" width="38.28515625" style="1" customWidth="1"/>
    <col min="9701" max="9701" width="13.7109375" style="1" customWidth="1"/>
    <col min="9702" max="9702" width="6" style="1" customWidth="1"/>
    <col min="9703" max="9703" width="3.7109375" style="1" customWidth="1"/>
    <col min="9704" max="9704" width="38.5703125" style="1" customWidth="1"/>
    <col min="9705" max="9945" width="9.140625" style="1"/>
    <col min="9946" max="9946" width="11.5703125" style="1" customWidth="1"/>
    <col min="9947" max="9947" width="12" style="1" customWidth="1"/>
    <col min="9948" max="9948" width="22.42578125" style="1" bestFit="1" customWidth="1"/>
    <col min="9949" max="9949" width="11.42578125" style="1" customWidth="1"/>
    <col min="9950" max="9950" width="46.42578125" style="1" bestFit="1" customWidth="1"/>
    <col min="9951" max="9951" width="15.7109375" style="1" customWidth="1"/>
    <col min="9952" max="9952" width="44" style="1" bestFit="1" customWidth="1"/>
    <col min="9953" max="9953" width="6.5703125" style="1" customWidth="1"/>
    <col min="9954" max="9954" width="6.85546875" style="1" customWidth="1"/>
    <col min="9955" max="9955" width="10.85546875" style="1" customWidth="1"/>
    <col min="9956" max="9956" width="38.28515625" style="1" customWidth="1"/>
    <col min="9957" max="9957" width="13.7109375" style="1" customWidth="1"/>
    <col min="9958" max="9958" width="6" style="1" customWidth="1"/>
    <col min="9959" max="9959" width="3.7109375" style="1" customWidth="1"/>
    <col min="9960" max="9960" width="38.5703125" style="1" customWidth="1"/>
    <col min="9961" max="10201" width="9.140625" style="1"/>
    <col min="10202" max="10202" width="11.5703125" style="1" customWidth="1"/>
    <col min="10203" max="10203" width="12" style="1" customWidth="1"/>
    <col min="10204" max="10204" width="22.42578125" style="1" bestFit="1" customWidth="1"/>
    <col min="10205" max="10205" width="11.42578125" style="1" customWidth="1"/>
    <col min="10206" max="10206" width="46.42578125" style="1" bestFit="1" customWidth="1"/>
    <col min="10207" max="10207" width="15.7109375" style="1" customWidth="1"/>
    <col min="10208" max="10208" width="44" style="1" bestFit="1" customWidth="1"/>
    <col min="10209" max="10209" width="6.5703125" style="1" customWidth="1"/>
    <col min="10210" max="10210" width="6.85546875" style="1" customWidth="1"/>
    <col min="10211" max="10211" width="10.85546875" style="1" customWidth="1"/>
    <col min="10212" max="10212" width="38.28515625" style="1" customWidth="1"/>
    <col min="10213" max="10213" width="13.7109375" style="1" customWidth="1"/>
    <col min="10214" max="10214" width="6" style="1" customWidth="1"/>
    <col min="10215" max="10215" width="3.7109375" style="1" customWidth="1"/>
    <col min="10216" max="10216" width="38.5703125" style="1" customWidth="1"/>
    <col min="10217" max="10457" width="9.140625" style="1"/>
    <col min="10458" max="10458" width="11.5703125" style="1" customWidth="1"/>
    <col min="10459" max="10459" width="12" style="1" customWidth="1"/>
    <col min="10460" max="10460" width="22.42578125" style="1" bestFit="1" customWidth="1"/>
    <col min="10461" max="10461" width="11.42578125" style="1" customWidth="1"/>
    <col min="10462" max="10462" width="46.42578125" style="1" bestFit="1" customWidth="1"/>
    <col min="10463" max="10463" width="15.7109375" style="1" customWidth="1"/>
    <col min="10464" max="10464" width="44" style="1" bestFit="1" customWidth="1"/>
    <col min="10465" max="10465" width="6.5703125" style="1" customWidth="1"/>
    <col min="10466" max="10466" width="6.85546875" style="1" customWidth="1"/>
    <col min="10467" max="10467" width="10.85546875" style="1" customWidth="1"/>
    <col min="10468" max="10468" width="38.28515625" style="1" customWidth="1"/>
    <col min="10469" max="10469" width="13.7109375" style="1" customWidth="1"/>
    <col min="10470" max="10470" width="6" style="1" customWidth="1"/>
    <col min="10471" max="10471" width="3.7109375" style="1" customWidth="1"/>
    <col min="10472" max="10472" width="38.5703125" style="1" customWidth="1"/>
    <col min="10473" max="10713" width="9.140625" style="1"/>
    <col min="10714" max="10714" width="11.5703125" style="1" customWidth="1"/>
    <col min="10715" max="10715" width="12" style="1" customWidth="1"/>
    <col min="10716" max="10716" width="22.42578125" style="1" bestFit="1" customWidth="1"/>
    <col min="10717" max="10717" width="11.42578125" style="1" customWidth="1"/>
    <col min="10718" max="10718" width="46.42578125" style="1" bestFit="1" customWidth="1"/>
    <col min="10719" max="10719" width="15.7109375" style="1" customWidth="1"/>
    <col min="10720" max="10720" width="44" style="1" bestFit="1" customWidth="1"/>
    <col min="10721" max="10721" width="6.5703125" style="1" customWidth="1"/>
    <col min="10722" max="10722" width="6.85546875" style="1" customWidth="1"/>
    <col min="10723" max="10723" width="10.85546875" style="1" customWidth="1"/>
    <col min="10724" max="10724" width="38.28515625" style="1" customWidth="1"/>
    <col min="10725" max="10725" width="13.7109375" style="1" customWidth="1"/>
    <col min="10726" max="10726" width="6" style="1" customWidth="1"/>
    <col min="10727" max="10727" width="3.7109375" style="1" customWidth="1"/>
    <col min="10728" max="10728" width="38.5703125" style="1" customWidth="1"/>
    <col min="10729" max="10969" width="9.140625" style="1"/>
    <col min="10970" max="10970" width="11.5703125" style="1" customWidth="1"/>
    <col min="10971" max="10971" width="12" style="1" customWidth="1"/>
    <col min="10972" max="10972" width="22.42578125" style="1" bestFit="1" customWidth="1"/>
    <col min="10973" max="10973" width="11.42578125" style="1" customWidth="1"/>
    <col min="10974" max="10974" width="46.42578125" style="1" bestFit="1" customWidth="1"/>
    <col min="10975" max="10975" width="15.7109375" style="1" customWidth="1"/>
    <col min="10976" max="10976" width="44" style="1" bestFit="1" customWidth="1"/>
    <col min="10977" max="10977" width="6.5703125" style="1" customWidth="1"/>
    <col min="10978" max="10978" width="6.85546875" style="1" customWidth="1"/>
    <col min="10979" max="10979" width="10.85546875" style="1" customWidth="1"/>
    <col min="10980" max="10980" width="38.28515625" style="1" customWidth="1"/>
    <col min="10981" max="10981" width="13.7109375" style="1" customWidth="1"/>
    <col min="10982" max="10982" width="6" style="1" customWidth="1"/>
    <col min="10983" max="10983" width="3.7109375" style="1" customWidth="1"/>
    <col min="10984" max="10984" width="38.5703125" style="1" customWidth="1"/>
    <col min="10985" max="11225" width="9.140625" style="1"/>
    <col min="11226" max="11226" width="11.5703125" style="1" customWidth="1"/>
    <col min="11227" max="11227" width="12" style="1" customWidth="1"/>
    <col min="11228" max="11228" width="22.42578125" style="1" bestFit="1" customWidth="1"/>
    <col min="11229" max="11229" width="11.42578125" style="1" customWidth="1"/>
    <col min="11230" max="11230" width="46.42578125" style="1" bestFit="1" customWidth="1"/>
    <col min="11231" max="11231" width="15.7109375" style="1" customWidth="1"/>
    <col min="11232" max="11232" width="44" style="1" bestFit="1" customWidth="1"/>
    <col min="11233" max="11233" width="6.5703125" style="1" customWidth="1"/>
    <col min="11234" max="11234" width="6.85546875" style="1" customWidth="1"/>
    <col min="11235" max="11235" width="10.85546875" style="1" customWidth="1"/>
    <col min="11236" max="11236" width="38.28515625" style="1" customWidth="1"/>
    <col min="11237" max="11237" width="13.7109375" style="1" customWidth="1"/>
    <col min="11238" max="11238" width="6" style="1" customWidth="1"/>
    <col min="11239" max="11239" width="3.7109375" style="1" customWidth="1"/>
    <col min="11240" max="11240" width="38.5703125" style="1" customWidth="1"/>
    <col min="11241" max="11481" width="9.140625" style="1"/>
    <col min="11482" max="11482" width="11.5703125" style="1" customWidth="1"/>
    <col min="11483" max="11483" width="12" style="1" customWidth="1"/>
    <col min="11484" max="11484" width="22.42578125" style="1" bestFit="1" customWidth="1"/>
    <col min="11485" max="11485" width="11.42578125" style="1" customWidth="1"/>
    <col min="11486" max="11486" width="46.42578125" style="1" bestFit="1" customWidth="1"/>
    <col min="11487" max="11487" width="15.7109375" style="1" customWidth="1"/>
    <col min="11488" max="11488" width="44" style="1" bestFit="1" customWidth="1"/>
    <col min="11489" max="11489" width="6.5703125" style="1" customWidth="1"/>
    <col min="11490" max="11490" width="6.85546875" style="1" customWidth="1"/>
    <col min="11491" max="11491" width="10.85546875" style="1" customWidth="1"/>
    <col min="11492" max="11492" width="38.28515625" style="1" customWidth="1"/>
    <col min="11493" max="11493" width="13.7109375" style="1" customWidth="1"/>
    <col min="11494" max="11494" width="6" style="1" customWidth="1"/>
    <col min="11495" max="11495" width="3.7109375" style="1" customWidth="1"/>
    <col min="11496" max="11496" width="38.5703125" style="1" customWidth="1"/>
    <col min="11497" max="11737" width="9.140625" style="1"/>
    <col min="11738" max="11738" width="11.5703125" style="1" customWidth="1"/>
    <col min="11739" max="11739" width="12" style="1" customWidth="1"/>
    <col min="11740" max="11740" width="22.42578125" style="1" bestFit="1" customWidth="1"/>
    <col min="11741" max="11741" width="11.42578125" style="1" customWidth="1"/>
    <col min="11742" max="11742" width="46.42578125" style="1" bestFit="1" customWidth="1"/>
    <col min="11743" max="11743" width="15.7109375" style="1" customWidth="1"/>
    <col min="11744" max="11744" width="44" style="1" bestFit="1" customWidth="1"/>
    <col min="11745" max="11745" width="6.5703125" style="1" customWidth="1"/>
    <col min="11746" max="11746" width="6.85546875" style="1" customWidth="1"/>
    <col min="11747" max="11747" width="10.85546875" style="1" customWidth="1"/>
    <col min="11748" max="11748" width="38.28515625" style="1" customWidth="1"/>
    <col min="11749" max="11749" width="13.7109375" style="1" customWidth="1"/>
    <col min="11750" max="11750" width="6" style="1" customWidth="1"/>
    <col min="11751" max="11751" width="3.7109375" style="1" customWidth="1"/>
    <col min="11752" max="11752" width="38.5703125" style="1" customWidth="1"/>
    <col min="11753" max="11993" width="9.140625" style="1"/>
    <col min="11994" max="11994" width="11.5703125" style="1" customWidth="1"/>
    <col min="11995" max="11995" width="12" style="1" customWidth="1"/>
    <col min="11996" max="11996" width="22.42578125" style="1" bestFit="1" customWidth="1"/>
    <col min="11997" max="11997" width="11.42578125" style="1" customWidth="1"/>
    <col min="11998" max="11998" width="46.42578125" style="1" bestFit="1" customWidth="1"/>
    <col min="11999" max="11999" width="15.7109375" style="1" customWidth="1"/>
    <col min="12000" max="12000" width="44" style="1" bestFit="1" customWidth="1"/>
    <col min="12001" max="12001" width="6.5703125" style="1" customWidth="1"/>
    <col min="12002" max="12002" width="6.85546875" style="1" customWidth="1"/>
    <col min="12003" max="12003" width="10.85546875" style="1" customWidth="1"/>
    <col min="12004" max="12004" width="38.28515625" style="1" customWidth="1"/>
    <col min="12005" max="12005" width="13.7109375" style="1" customWidth="1"/>
    <col min="12006" max="12006" width="6" style="1" customWidth="1"/>
    <col min="12007" max="12007" width="3.7109375" style="1" customWidth="1"/>
    <col min="12008" max="12008" width="38.5703125" style="1" customWidth="1"/>
    <col min="12009" max="12249" width="9.140625" style="1"/>
    <col min="12250" max="12250" width="11.5703125" style="1" customWidth="1"/>
    <col min="12251" max="12251" width="12" style="1" customWidth="1"/>
    <col min="12252" max="12252" width="22.42578125" style="1" bestFit="1" customWidth="1"/>
    <col min="12253" max="12253" width="11.42578125" style="1" customWidth="1"/>
    <col min="12254" max="12254" width="46.42578125" style="1" bestFit="1" customWidth="1"/>
    <col min="12255" max="12255" width="15.7109375" style="1" customWidth="1"/>
    <col min="12256" max="12256" width="44" style="1" bestFit="1" customWidth="1"/>
    <col min="12257" max="12257" width="6.5703125" style="1" customWidth="1"/>
    <col min="12258" max="12258" width="6.85546875" style="1" customWidth="1"/>
    <col min="12259" max="12259" width="10.85546875" style="1" customWidth="1"/>
    <col min="12260" max="12260" width="38.28515625" style="1" customWidth="1"/>
    <col min="12261" max="12261" width="13.7109375" style="1" customWidth="1"/>
    <col min="12262" max="12262" width="6" style="1" customWidth="1"/>
    <col min="12263" max="12263" width="3.7109375" style="1" customWidth="1"/>
    <col min="12264" max="12264" width="38.5703125" style="1" customWidth="1"/>
    <col min="12265" max="12505" width="9.140625" style="1"/>
    <col min="12506" max="12506" width="11.5703125" style="1" customWidth="1"/>
    <col min="12507" max="12507" width="12" style="1" customWidth="1"/>
    <col min="12508" max="12508" width="22.42578125" style="1" bestFit="1" customWidth="1"/>
    <col min="12509" max="12509" width="11.42578125" style="1" customWidth="1"/>
    <col min="12510" max="12510" width="46.42578125" style="1" bestFit="1" customWidth="1"/>
    <col min="12511" max="12511" width="15.7109375" style="1" customWidth="1"/>
    <col min="12512" max="12512" width="44" style="1" bestFit="1" customWidth="1"/>
    <col min="12513" max="12513" width="6.5703125" style="1" customWidth="1"/>
    <col min="12514" max="12514" width="6.85546875" style="1" customWidth="1"/>
    <col min="12515" max="12515" width="10.85546875" style="1" customWidth="1"/>
    <col min="12516" max="12516" width="38.28515625" style="1" customWidth="1"/>
    <col min="12517" max="12517" width="13.7109375" style="1" customWidth="1"/>
    <col min="12518" max="12518" width="6" style="1" customWidth="1"/>
    <col min="12519" max="12519" width="3.7109375" style="1" customWidth="1"/>
    <col min="12520" max="12520" width="38.5703125" style="1" customWidth="1"/>
    <col min="12521" max="12761" width="9.140625" style="1"/>
    <col min="12762" max="12762" width="11.5703125" style="1" customWidth="1"/>
    <col min="12763" max="12763" width="12" style="1" customWidth="1"/>
    <col min="12764" max="12764" width="22.42578125" style="1" bestFit="1" customWidth="1"/>
    <col min="12765" max="12765" width="11.42578125" style="1" customWidth="1"/>
    <col min="12766" max="12766" width="46.42578125" style="1" bestFit="1" customWidth="1"/>
    <col min="12767" max="12767" width="15.7109375" style="1" customWidth="1"/>
    <col min="12768" max="12768" width="44" style="1" bestFit="1" customWidth="1"/>
    <col min="12769" max="12769" width="6.5703125" style="1" customWidth="1"/>
    <col min="12770" max="12770" width="6.85546875" style="1" customWidth="1"/>
    <col min="12771" max="12771" width="10.85546875" style="1" customWidth="1"/>
    <col min="12772" max="12772" width="38.28515625" style="1" customWidth="1"/>
    <col min="12773" max="12773" width="13.7109375" style="1" customWidth="1"/>
    <col min="12774" max="12774" width="6" style="1" customWidth="1"/>
    <col min="12775" max="12775" width="3.7109375" style="1" customWidth="1"/>
    <col min="12776" max="12776" width="38.5703125" style="1" customWidth="1"/>
    <col min="12777" max="13017" width="9.140625" style="1"/>
    <col min="13018" max="13018" width="11.5703125" style="1" customWidth="1"/>
    <col min="13019" max="13019" width="12" style="1" customWidth="1"/>
    <col min="13020" max="13020" width="22.42578125" style="1" bestFit="1" customWidth="1"/>
    <col min="13021" max="13021" width="11.42578125" style="1" customWidth="1"/>
    <col min="13022" max="13022" width="46.42578125" style="1" bestFit="1" customWidth="1"/>
    <col min="13023" max="13023" width="15.7109375" style="1" customWidth="1"/>
    <col min="13024" max="13024" width="44" style="1" bestFit="1" customWidth="1"/>
    <col min="13025" max="13025" width="6.5703125" style="1" customWidth="1"/>
    <col min="13026" max="13026" width="6.85546875" style="1" customWidth="1"/>
    <col min="13027" max="13027" width="10.85546875" style="1" customWidth="1"/>
    <col min="13028" max="13028" width="38.28515625" style="1" customWidth="1"/>
    <col min="13029" max="13029" width="13.7109375" style="1" customWidth="1"/>
    <col min="13030" max="13030" width="6" style="1" customWidth="1"/>
    <col min="13031" max="13031" width="3.7109375" style="1" customWidth="1"/>
    <col min="13032" max="13032" width="38.5703125" style="1" customWidth="1"/>
    <col min="13033" max="13273" width="9.140625" style="1"/>
    <col min="13274" max="13274" width="11.5703125" style="1" customWidth="1"/>
    <col min="13275" max="13275" width="12" style="1" customWidth="1"/>
    <col min="13276" max="13276" width="22.42578125" style="1" bestFit="1" customWidth="1"/>
    <col min="13277" max="13277" width="11.42578125" style="1" customWidth="1"/>
    <col min="13278" max="13278" width="46.42578125" style="1" bestFit="1" customWidth="1"/>
    <col min="13279" max="13279" width="15.7109375" style="1" customWidth="1"/>
    <col min="13280" max="13280" width="44" style="1" bestFit="1" customWidth="1"/>
    <col min="13281" max="13281" width="6.5703125" style="1" customWidth="1"/>
    <col min="13282" max="13282" width="6.85546875" style="1" customWidth="1"/>
    <col min="13283" max="13283" width="10.85546875" style="1" customWidth="1"/>
    <col min="13284" max="13284" width="38.28515625" style="1" customWidth="1"/>
    <col min="13285" max="13285" width="13.7109375" style="1" customWidth="1"/>
    <col min="13286" max="13286" width="6" style="1" customWidth="1"/>
    <col min="13287" max="13287" width="3.7109375" style="1" customWidth="1"/>
    <col min="13288" max="13288" width="38.5703125" style="1" customWidth="1"/>
    <col min="13289" max="13529" width="9.140625" style="1"/>
    <col min="13530" max="13530" width="11.5703125" style="1" customWidth="1"/>
    <col min="13531" max="13531" width="12" style="1" customWidth="1"/>
    <col min="13532" max="13532" width="22.42578125" style="1" bestFit="1" customWidth="1"/>
    <col min="13533" max="13533" width="11.42578125" style="1" customWidth="1"/>
    <col min="13534" max="13534" width="46.42578125" style="1" bestFit="1" customWidth="1"/>
    <col min="13535" max="13535" width="15.7109375" style="1" customWidth="1"/>
    <col min="13536" max="13536" width="44" style="1" bestFit="1" customWidth="1"/>
    <col min="13537" max="13537" width="6.5703125" style="1" customWidth="1"/>
    <col min="13538" max="13538" width="6.85546875" style="1" customWidth="1"/>
    <col min="13539" max="13539" width="10.85546875" style="1" customWidth="1"/>
    <col min="13540" max="13540" width="38.28515625" style="1" customWidth="1"/>
    <col min="13541" max="13541" width="13.7109375" style="1" customWidth="1"/>
    <col min="13542" max="13542" width="6" style="1" customWidth="1"/>
    <col min="13543" max="13543" width="3.7109375" style="1" customWidth="1"/>
    <col min="13544" max="13544" width="38.5703125" style="1" customWidth="1"/>
    <col min="13545" max="13785" width="9.140625" style="1"/>
    <col min="13786" max="13786" width="11.5703125" style="1" customWidth="1"/>
    <col min="13787" max="13787" width="12" style="1" customWidth="1"/>
    <col min="13788" max="13788" width="22.42578125" style="1" bestFit="1" customWidth="1"/>
    <col min="13789" max="13789" width="11.42578125" style="1" customWidth="1"/>
    <col min="13790" max="13790" width="46.42578125" style="1" bestFit="1" customWidth="1"/>
    <col min="13791" max="13791" width="15.7109375" style="1" customWidth="1"/>
    <col min="13792" max="13792" width="44" style="1" bestFit="1" customWidth="1"/>
    <col min="13793" max="13793" width="6.5703125" style="1" customWidth="1"/>
    <col min="13794" max="13794" width="6.85546875" style="1" customWidth="1"/>
    <col min="13795" max="13795" width="10.85546875" style="1" customWidth="1"/>
    <col min="13796" max="13796" width="38.28515625" style="1" customWidth="1"/>
    <col min="13797" max="13797" width="13.7109375" style="1" customWidth="1"/>
    <col min="13798" max="13798" width="6" style="1" customWidth="1"/>
    <col min="13799" max="13799" width="3.7109375" style="1" customWidth="1"/>
    <col min="13800" max="13800" width="38.5703125" style="1" customWidth="1"/>
    <col min="13801" max="14041" width="9.140625" style="1"/>
    <col min="14042" max="14042" width="11.5703125" style="1" customWidth="1"/>
    <col min="14043" max="14043" width="12" style="1" customWidth="1"/>
    <col min="14044" max="14044" width="22.42578125" style="1" bestFit="1" customWidth="1"/>
    <col min="14045" max="14045" width="11.42578125" style="1" customWidth="1"/>
    <col min="14046" max="14046" width="46.42578125" style="1" bestFit="1" customWidth="1"/>
    <col min="14047" max="14047" width="15.7109375" style="1" customWidth="1"/>
    <col min="14048" max="14048" width="44" style="1" bestFit="1" customWidth="1"/>
    <col min="14049" max="14049" width="6.5703125" style="1" customWidth="1"/>
    <col min="14050" max="14050" width="6.85546875" style="1" customWidth="1"/>
    <col min="14051" max="14051" width="10.85546875" style="1" customWidth="1"/>
    <col min="14052" max="14052" width="38.28515625" style="1" customWidth="1"/>
    <col min="14053" max="14053" width="13.7109375" style="1" customWidth="1"/>
    <col min="14054" max="14054" width="6" style="1" customWidth="1"/>
    <col min="14055" max="14055" width="3.7109375" style="1" customWidth="1"/>
    <col min="14056" max="14056" width="38.5703125" style="1" customWidth="1"/>
    <col min="14057" max="14297" width="9.140625" style="1"/>
    <col min="14298" max="14298" width="11.5703125" style="1" customWidth="1"/>
    <col min="14299" max="14299" width="12" style="1" customWidth="1"/>
    <col min="14300" max="14300" width="22.42578125" style="1" bestFit="1" customWidth="1"/>
    <col min="14301" max="14301" width="11.42578125" style="1" customWidth="1"/>
    <col min="14302" max="14302" width="46.42578125" style="1" bestFit="1" customWidth="1"/>
    <col min="14303" max="14303" width="15.7109375" style="1" customWidth="1"/>
    <col min="14304" max="14304" width="44" style="1" bestFit="1" customWidth="1"/>
    <col min="14305" max="14305" width="6.5703125" style="1" customWidth="1"/>
    <col min="14306" max="14306" width="6.85546875" style="1" customWidth="1"/>
    <col min="14307" max="14307" width="10.85546875" style="1" customWidth="1"/>
    <col min="14308" max="14308" width="38.28515625" style="1" customWidth="1"/>
    <col min="14309" max="14309" width="13.7109375" style="1" customWidth="1"/>
    <col min="14310" max="14310" width="6" style="1" customWidth="1"/>
    <col min="14311" max="14311" width="3.7109375" style="1" customWidth="1"/>
    <col min="14312" max="14312" width="38.5703125" style="1" customWidth="1"/>
    <col min="14313" max="14553" width="9.140625" style="1"/>
    <col min="14554" max="14554" width="11.5703125" style="1" customWidth="1"/>
    <col min="14555" max="14555" width="12" style="1" customWidth="1"/>
    <col min="14556" max="14556" width="22.42578125" style="1" bestFit="1" customWidth="1"/>
    <col min="14557" max="14557" width="11.42578125" style="1" customWidth="1"/>
    <col min="14558" max="14558" width="46.42578125" style="1" bestFit="1" customWidth="1"/>
    <col min="14559" max="14559" width="15.7109375" style="1" customWidth="1"/>
    <col min="14560" max="14560" width="44" style="1" bestFit="1" customWidth="1"/>
    <col min="14561" max="14561" width="6.5703125" style="1" customWidth="1"/>
    <col min="14562" max="14562" width="6.85546875" style="1" customWidth="1"/>
    <col min="14563" max="14563" width="10.85546875" style="1" customWidth="1"/>
    <col min="14564" max="14564" width="38.28515625" style="1" customWidth="1"/>
    <col min="14565" max="14565" width="13.7109375" style="1" customWidth="1"/>
    <col min="14566" max="14566" width="6" style="1" customWidth="1"/>
    <col min="14567" max="14567" width="3.7109375" style="1" customWidth="1"/>
    <col min="14568" max="14568" width="38.5703125" style="1" customWidth="1"/>
    <col min="14569" max="14809" width="9.140625" style="1"/>
    <col min="14810" max="14810" width="11.5703125" style="1" customWidth="1"/>
    <col min="14811" max="14811" width="12" style="1" customWidth="1"/>
    <col min="14812" max="14812" width="22.42578125" style="1" bestFit="1" customWidth="1"/>
    <col min="14813" max="14813" width="11.42578125" style="1" customWidth="1"/>
    <col min="14814" max="14814" width="46.42578125" style="1" bestFit="1" customWidth="1"/>
    <col min="14815" max="14815" width="15.7109375" style="1" customWidth="1"/>
    <col min="14816" max="14816" width="44" style="1" bestFit="1" customWidth="1"/>
    <col min="14817" max="14817" width="6.5703125" style="1" customWidth="1"/>
    <col min="14818" max="14818" width="6.85546875" style="1" customWidth="1"/>
    <col min="14819" max="14819" width="10.85546875" style="1" customWidth="1"/>
    <col min="14820" max="14820" width="38.28515625" style="1" customWidth="1"/>
    <col min="14821" max="14821" width="13.7109375" style="1" customWidth="1"/>
    <col min="14822" max="14822" width="6" style="1" customWidth="1"/>
    <col min="14823" max="14823" width="3.7109375" style="1" customWidth="1"/>
    <col min="14824" max="14824" width="38.5703125" style="1" customWidth="1"/>
    <col min="14825" max="15065" width="9.140625" style="1"/>
    <col min="15066" max="15066" width="11.5703125" style="1" customWidth="1"/>
    <col min="15067" max="15067" width="12" style="1" customWidth="1"/>
    <col min="15068" max="15068" width="22.42578125" style="1" bestFit="1" customWidth="1"/>
    <col min="15069" max="15069" width="11.42578125" style="1" customWidth="1"/>
    <col min="15070" max="15070" width="46.42578125" style="1" bestFit="1" customWidth="1"/>
    <col min="15071" max="15071" width="15.7109375" style="1" customWidth="1"/>
    <col min="15072" max="15072" width="44" style="1" bestFit="1" customWidth="1"/>
    <col min="15073" max="15073" width="6.5703125" style="1" customWidth="1"/>
    <col min="15074" max="15074" width="6.85546875" style="1" customWidth="1"/>
    <col min="15075" max="15075" width="10.85546875" style="1" customWidth="1"/>
    <col min="15076" max="15076" width="38.28515625" style="1" customWidth="1"/>
    <col min="15077" max="15077" width="13.7109375" style="1" customWidth="1"/>
    <col min="15078" max="15078" width="6" style="1" customWidth="1"/>
    <col min="15079" max="15079" width="3.7109375" style="1" customWidth="1"/>
    <col min="15080" max="15080" width="38.5703125" style="1" customWidth="1"/>
    <col min="15081" max="15321" width="9.140625" style="1"/>
    <col min="15322" max="15322" width="11.5703125" style="1" customWidth="1"/>
    <col min="15323" max="15323" width="12" style="1" customWidth="1"/>
    <col min="15324" max="15324" width="22.42578125" style="1" bestFit="1" customWidth="1"/>
    <col min="15325" max="15325" width="11.42578125" style="1" customWidth="1"/>
    <col min="15326" max="15326" width="46.42578125" style="1" bestFit="1" customWidth="1"/>
    <col min="15327" max="15327" width="15.7109375" style="1" customWidth="1"/>
    <col min="15328" max="15328" width="44" style="1" bestFit="1" customWidth="1"/>
    <col min="15329" max="15329" width="6.5703125" style="1" customWidth="1"/>
    <col min="15330" max="15330" width="6.85546875" style="1" customWidth="1"/>
    <col min="15331" max="15331" width="10.85546875" style="1" customWidth="1"/>
    <col min="15332" max="15332" width="38.28515625" style="1" customWidth="1"/>
    <col min="15333" max="15333" width="13.7109375" style="1" customWidth="1"/>
    <col min="15334" max="15334" width="6" style="1" customWidth="1"/>
    <col min="15335" max="15335" width="3.7109375" style="1" customWidth="1"/>
    <col min="15336" max="15336" width="38.5703125" style="1" customWidth="1"/>
    <col min="15337" max="15577" width="9.140625" style="1"/>
    <col min="15578" max="15578" width="11.5703125" style="1" customWidth="1"/>
    <col min="15579" max="15579" width="12" style="1" customWidth="1"/>
    <col min="15580" max="15580" width="22.42578125" style="1" bestFit="1" customWidth="1"/>
    <col min="15581" max="15581" width="11.42578125" style="1" customWidth="1"/>
    <col min="15582" max="15582" width="46.42578125" style="1" bestFit="1" customWidth="1"/>
    <col min="15583" max="15583" width="15.7109375" style="1" customWidth="1"/>
    <col min="15584" max="15584" width="44" style="1" bestFit="1" customWidth="1"/>
    <col min="15585" max="15585" width="6.5703125" style="1" customWidth="1"/>
    <col min="15586" max="15586" width="6.85546875" style="1" customWidth="1"/>
    <col min="15587" max="15587" width="10.85546875" style="1" customWidth="1"/>
    <col min="15588" max="15588" width="38.28515625" style="1" customWidth="1"/>
    <col min="15589" max="15589" width="13.7109375" style="1" customWidth="1"/>
    <col min="15590" max="15590" width="6" style="1" customWidth="1"/>
    <col min="15591" max="15591" width="3.7109375" style="1" customWidth="1"/>
    <col min="15592" max="15592" width="38.5703125" style="1" customWidth="1"/>
    <col min="15593" max="15833" width="9.140625" style="1"/>
    <col min="15834" max="15834" width="11.5703125" style="1" customWidth="1"/>
    <col min="15835" max="15835" width="12" style="1" customWidth="1"/>
    <col min="15836" max="15836" width="22.42578125" style="1" bestFit="1" customWidth="1"/>
    <col min="15837" max="15837" width="11.42578125" style="1" customWidth="1"/>
    <col min="15838" max="15838" width="46.42578125" style="1" bestFit="1" customWidth="1"/>
    <col min="15839" max="15839" width="15.7109375" style="1" customWidth="1"/>
    <col min="15840" max="15840" width="44" style="1" bestFit="1" customWidth="1"/>
    <col min="15841" max="15841" width="6.5703125" style="1" customWidth="1"/>
    <col min="15842" max="15842" width="6.85546875" style="1" customWidth="1"/>
    <col min="15843" max="15843" width="10.85546875" style="1" customWidth="1"/>
    <col min="15844" max="15844" width="38.28515625" style="1" customWidth="1"/>
    <col min="15845" max="15845" width="13.7109375" style="1" customWidth="1"/>
    <col min="15846" max="15846" width="6" style="1" customWidth="1"/>
    <col min="15847" max="15847" width="3.7109375" style="1" customWidth="1"/>
    <col min="15848" max="15848" width="38.5703125" style="1" customWidth="1"/>
    <col min="15849" max="16089" width="9.140625" style="1"/>
    <col min="16090" max="16090" width="11.5703125" style="1" customWidth="1"/>
    <col min="16091" max="16091" width="12" style="1" customWidth="1"/>
    <col min="16092" max="16092" width="22.42578125" style="1" bestFit="1" customWidth="1"/>
    <col min="16093" max="16093" width="11.42578125" style="1" customWidth="1"/>
    <col min="16094" max="16094" width="46.42578125" style="1" bestFit="1" customWidth="1"/>
    <col min="16095" max="16095" width="15.7109375" style="1" customWidth="1"/>
    <col min="16096" max="16096" width="44" style="1" bestFit="1" customWidth="1"/>
    <col min="16097" max="16097" width="6.5703125" style="1" customWidth="1"/>
    <col min="16098" max="16098" width="6.85546875" style="1" customWidth="1"/>
    <col min="16099" max="16099" width="10.85546875" style="1" customWidth="1"/>
    <col min="16100" max="16100" width="38.28515625" style="1" customWidth="1"/>
    <col min="16101" max="16101" width="13.7109375" style="1" customWidth="1"/>
    <col min="16102" max="16102" width="6" style="1" customWidth="1"/>
    <col min="16103" max="16103" width="3.7109375" style="1" customWidth="1"/>
    <col min="16104" max="16104" width="38.5703125" style="1" customWidth="1"/>
    <col min="16105" max="16364" width="9.140625" style="1"/>
    <col min="16365" max="16384" width="9.140625" style="1" customWidth="1"/>
  </cols>
  <sheetData>
    <row r="1" spans="1:16" x14ac:dyDescent="0.25">
      <c r="A1" s="95" t="s">
        <v>55</v>
      </c>
      <c r="B1" s="94">
        <f>K17</f>
        <v>0</v>
      </c>
      <c r="C1" s="99">
        <f>AVERAGE(B1:B7)</f>
        <v>0</v>
      </c>
      <c r="D1" s="8">
        <f>H17</f>
        <v>2</v>
      </c>
      <c r="E1" s="96" t="e">
        <f>AVERAGE(F1:F6)</f>
        <v>#REF!</v>
      </c>
      <c r="F1" s="96">
        <f>AVERAGE(J11,J20,J29,J38,J47,J56,J67)</f>
        <v>0</v>
      </c>
      <c r="G1" s="6" t="s">
        <v>8</v>
      </c>
      <c r="H1" s="9"/>
      <c r="I1" s="9"/>
      <c r="J1" s="8"/>
      <c r="K1" s="7"/>
      <c r="L1" s="6"/>
      <c r="M1" s="5"/>
      <c r="N1" s="5"/>
      <c r="O1" s="4"/>
    </row>
    <row r="2" spans="1:16" x14ac:dyDescent="0.25">
      <c r="A2" s="95" t="s">
        <v>54</v>
      </c>
      <c r="B2" s="94">
        <f>K26</f>
        <v>0</v>
      </c>
      <c r="C2" s="97" t="s">
        <v>53</v>
      </c>
      <c r="D2" s="8">
        <f>H26</f>
        <v>2</v>
      </c>
      <c r="E2" s="9" t="str">
        <f>SUM(D1:D7)*10&amp;" "&amp;"Horas"&amp;" "&amp;"Hombre"&amp;" "&amp;"Disponibles"&amp;" "&amp;"Semana"</f>
        <v>140 Horas Hombre Disponibles Semana</v>
      </c>
      <c r="F2" s="96" t="e">
        <f>AVERAGE(#REF!,#REF!,#REF!,#REF!,#REF!,#REF!,#REF!)</f>
        <v>#REF!</v>
      </c>
      <c r="G2" s="6" t="s">
        <v>6</v>
      </c>
      <c r="H2" s="9"/>
      <c r="I2" s="9"/>
      <c r="J2" s="8"/>
      <c r="K2" s="7"/>
      <c r="L2" s="6"/>
      <c r="M2" s="5"/>
      <c r="N2" s="5"/>
      <c r="O2" s="4"/>
    </row>
    <row r="3" spans="1:16" x14ac:dyDescent="0.25">
      <c r="A3" s="95" t="s">
        <v>52</v>
      </c>
      <c r="B3" s="94">
        <f>K35</f>
        <v>0</v>
      </c>
      <c r="C3" s="9"/>
      <c r="D3" s="8">
        <f>H35</f>
        <v>2</v>
      </c>
      <c r="E3" s="9" t="str">
        <f>SUM(J17,J26,J35,J44,J53,J64,J73)&amp;" "&amp;"Horas"&amp;" "&amp;"Hombre"&amp;" "&amp;"Programadas"</f>
        <v>0 Horas Hombre Programadas</v>
      </c>
      <c r="F3" s="96" t="e">
        <f>AVERAGE(#REF!,#REF!,#REF!,#REF!,#REF!,#REF!,#REF!)</f>
        <v>#REF!</v>
      </c>
      <c r="G3" s="6" t="s">
        <v>4</v>
      </c>
      <c r="H3" s="9"/>
      <c r="I3" s="9"/>
      <c r="J3" s="8"/>
      <c r="K3" s="7"/>
      <c r="L3" s="6"/>
      <c r="M3" s="5"/>
      <c r="N3" s="5"/>
      <c r="O3" s="4"/>
    </row>
    <row r="4" spans="1:16" ht="12.75" customHeight="1" x14ac:dyDescent="0.25">
      <c r="A4" s="95" t="s">
        <v>51</v>
      </c>
      <c r="B4" s="94">
        <f>K44</f>
        <v>0</v>
      </c>
      <c r="C4" s="99">
        <f>1-C1</f>
        <v>1</v>
      </c>
      <c r="D4" s="8">
        <f>H44</f>
        <v>2</v>
      </c>
      <c r="E4" s="9" t="str">
        <f>(SUM(D1:D7)*10)-(SUM(J17,J26,J35,J44,J53,J64,J73))&amp;" "&amp;"Horas"&amp;" "&amp;"Atención"&amp;" "&amp;"OT"&amp;" "&amp;"Reactivo"</f>
        <v>140 Horas Atención OT Reactivo</v>
      </c>
      <c r="F4" s="98" t="e">
        <f>AVERAGE(#REF!,#REF!,#REF!,#REF!,#REF!,#REF!,#REF!)</f>
        <v>#REF!</v>
      </c>
      <c r="G4" s="6" t="s">
        <v>3</v>
      </c>
      <c r="H4" s="9"/>
      <c r="I4" s="9"/>
      <c r="J4" s="8"/>
      <c r="K4" s="7"/>
      <c r="L4" s="6"/>
      <c r="M4" s="5"/>
      <c r="N4" s="5"/>
      <c r="O4" s="4"/>
    </row>
    <row r="5" spans="1:16" x14ac:dyDescent="0.25">
      <c r="A5" s="95" t="s">
        <v>50</v>
      </c>
      <c r="B5" s="94">
        <f>K53</f>
        <v>0</v>
      </c>
      <c r="C5" s="97" t="s">
        <v>49</v>
      </c>
      <c r="D5" s="8">
        <f>H53</f>
        <v>2</v>
      </c>
      <c r="E5" s="9"/>
      <c r="F5" s="96" t="e">
        <f>AVERAGE(#REF!,#REF!,#REF!,#REF!,#REF!,#REF!,#REF!)</f>
        <v>#REF!</v>
      </c>
      <c r="G5" s="10" t="s">
        <v>48</v>
      </c>
      <c r="H5" s="9"/>
      <c r="I5" s="9"/>
      <c r="J5" s="8"/>
      <c r="K5" s="7"/>
      <c r="L5" s="6"/>
      <c r="M5" s="5"/>
      <c r="N5" s="5"/>
      <c r="O5" s="4"/>
    </row>
    <row r="6" spans="1:16" x14ac:dyDescent="0.25">
      <c r="A6" s="95" t="s">
        <v>47</v>
      </c>
      <c r="B6" s="94">
        <f>K64</f>
        <v>0</v>
      </c>
      <c r="C6" s="9"/>
      <c r="D6" s="8">
        <f>H64</f>
        <v>2</v>
      </c>
      <c r="E6" s="9"/>
      <c r="F6" s="96" t="e">
        <f>AVERAGE(#REF!,#REF!,#REF!,#REF!,#REF!,#REF!,#REF!)</f>
        <v>#REF!</v>
      </c>
      <c r="G6" s="10" t="s">
        <v>46</v>
      </c>
      <c r="H6" s="9"/>
      <c r="I6" s="9"/>
      <c r="J6" s="8"/>
      <c r="K6" s="7"/>
      <c r="L6" s="6"/>
      <c r="M6" s="5"/>
      <c r="N6" s="5"/>
      <c r="O6" s="4"/>
    </row>
    <row r="7" spans="1:16" x14ac:dyDescent="0.25">
      <c r="A7" s="95" t="s">
        <v>45</v>
      </c>
      <c r="B7" s="94">
        <f>K73</f>
        <v>0</v>
      </c>
      <c r="C7" s="9"/>
      <c r="D7" s="8">
        <f>H73</f>
        <v>2</v>
      </c>
      <c r="E7" s="9"/>
      <c r="F7" s="8"/>
      <c r="G7" s="10"/>
      <c r="H7" s="9"/>
      <c r="I7" s="9"/>
      <c r="J7" s="8"/>
      <c r="K7" s="7"/>
      <c r="L7" s="6"/>
      <c r="M7" s="5"/>
      <c r="N7" s="5"/>
      <c r="O7" s="4"/>
    </row>
    <row r="8" spans="1:16" ht="28.5" customHeight="1" thickBot="1" x14ac:dyDescent="0.3">
      <c r="A8" s="93"/>
      <c r="B8" s="92"/>
      <c r="C8" s="91" t="s">
        <v>44</v>
      </c>
      <c r="D8" s="90" t="s">
        <v>43</v>
      </c>
      <c r="E8" s="119" t="s">
        <v>68</v>
      </c>
      <c r="F8" s="120"/>
      <c r="G8" s="121"/>
      <c r="H8" s="89"/>
      <c r="I8" s="122" t="s">
        <v>42</v>
      </c>
      <c r="J8" s="123"/>
      <c r="K8" s="124"/>
      <c r="L8" s="6"/>
      <c r="M8" s="5"/>
      <c r="N8" s="5"/>
      <c r="O8" s="4"/>
    </row>
    <row r="9" spans="1:16" ht="15" thickTop="1" thickBot="1" x14ac:dyDescent="0.3">
      <c r="A9" s="66"/>
      <c r="B9" s="63"/>
      <c r="C9" s="63"/>
      <c r="D9" s="63"/>
      <c r="E9" s="125">
        <v>46174</v>
      </c>
      <c r="F9" s="125"/>
      <c r="G9" s="88"/>
      <c r="H9" s="64"/>
      <c r="I9" s="63"/>
      <c r="J9" s="62"/>
      <c r="K9" s="61"/>
      <c r="L9" s="6" t="s">
        <v>30</v>
      </c>
      <c r="M9" s="5" t="s">
        <v>41</v>
      </c>
      <c r="N9" s="5"/>
      <c r="O9" s="4"/>
    </row>
    <row r="10" spans="1:16" ht="27.75" thickTop="1" x14ac:dyDescent="0.25">
      <c r="A10" s="87" t="s">
        <v>29</v>
      </c>
      <c r="B10" s="59" t="s">
        <v>28</v>
      </c>
      <c r="C10" s="59" t="s">
        <v>27</v>
      </c>
      <c r="D10" s="59" t="s">
        <v>26</v>
      </c>
      <c r="E10" s="59" t="s">
        <v>25</v>
      </c>
      <c r="F10" s="59" t="s">
        <v>24</v>
      </c>
      <c r="G10" s="86" t="s">
        <v>23</v>
      </c>
      <c r="H10" s="59" t="s">
        <v>22</v>
      </c>
      <c r="I10" s="59" t="s">
        <v>21</v>
      </c>
      <c r="J10" s="85" t="s">
        <v>20</v>
      </c>
      <c r="K10" s="84" t="s">
        <v>19</v>
      </c>
      <c r="L10" s="6" t="s">
        <v>18</v>
      </c>
      <c r="M10" s="5" t="s">
        <v>41</v>
      </c>
      <c r="N10" s="5"/>
      <c r="O10" s="50"/>
    </row>
    <row r="11" spans="1:16" x14ac:dyDescent="0.25">
      <c r="A11" s="44"/>
      <c r="B11" s="44"/>
      <c r="C11" s="54"/>
      <c r="D11" s="44"/>
      <c r="E11" s="45" t="s">
        <v>17</v>
      </c>
      <c r="F11" s="44"/>
      <c r="G11" s="54"/>
      <c r="H11" s="83">
        <v>2</v>
      </c>
      <c r="I11" s="41">
        <f>H11*10</f>
        <v>20</v>
      </c>
      <c r="J11" s="40">
        <f>SUM(J12:J16)/I11</f>
        <v>0</v>
      </c>
      <c r="K11" s="39" t="str">
        <f>SUM(J12:J16)&amp;" "&amp;"Hrs"&amp;" "&amp;"GRUPO 1"</f>
        <v>0 Hrs GRUPO 1</v>
      </c>
      <c r="L11" s="6" t="s">
        <v>8</v>
      </c>
      <c r="M11" s="5" t="s">
        <v>41</v>
      </c>
      <c r="N11" s="42"/>
      <c r="O11" s="49"/>
      <c r="P11" s="48" t="s">
        <v>7</v>
      </c>
    </row>
    <row r="12" spans="1:16" x14ac:dyDescent="0.25">
      <c r="A12" s="25"/>
      <c r="B12" s="52"/>
      <c r="C12" s="53"/>
      <c r="D12" s="52"/>
      <c r="E12" s="23"/>
      <c r="F12" s="25"/>
      <c r="G12" s="23"/>
      <c r="H12" s="25"/>
      <c r="I12" s="25"/>
      <c r="J12" s="21" t="str">
        <f>IF(H12&lt;&gt;"",H12*I12,"")</f>
        <v/>
      </c>
      <c r="K12" s="38"/>
      <c r="L12" s="6" t="s">
        <v>8</v>
      </c>
      <c r="M12" s="5" t="s">
        <v>41</v>
      </c>
      <c r="N12" s="42"/>
      <c r="O12" s="46"/>
      <c r="P12" s="48" t="s">
        <v>7</v>
      </c>
    </row>
    <row r="13" spans="1:16" x14ac:dyDescent="0.25">
      <c r="A13" s="25"/>
      <c r="B13" s="52"/>
      <c r="C13" s="53"/>
      <c r="D13" s="52"/>
      <c r="E13" s="30"/>
      <c r="F13" s="25"/>
      <c r="G13" s="23"/>
      <c r="H13" s="25"/>
      <c r="I13" s="25"/>
      <c r="J13" s="21" t="str">
        <f>IF(H13&lt;&gt;"",H13*I13,"")</f>
        <v/>
      </c>
      <c r="K13" s="38"/>
      <c r="L13" s="37" t="s">
        <v>8</v>
      </c>
      <c r="M13" s="5" t="s">
        <v>41</v>
      </c>
      <c r="N13" s="5"/>
      <c r="O13" s="49"/>
      <c r="P13" s="48" t="s">
        <v>7</v>
      </c>
    </row>
    <row r="14" spans="1:16" x14ac:dyDescent="0.25">
      <c r="A14" s="34"/>
      <c r="B14" s="52"/>
      <c r="C14" s="53"/>
      <c r="D14" s="52"/>
      <c r="E14" s="73"/>
      <c r="F14" s="74"/>
      <c r="G14" s="73"/>
      <c r="H14" s="77"/>
      <c r="I14" s="77"/>
      <c r="J14" s="21"/>
      <c r="K14" s="38"/>
      <c r="L14" s="6" t="s">
        <v>8</v>
      </c>
      <c r="M14" s="5" t="s">
        <v>41</v>
      </c>
      <c r="N14" s="42"/>
      <c r="O14" s="49"/>
      <c r="P14" s="51" t="s">
        <v>9</v>
      </c>
    </row>
    <row r="15" spans="1:16" x14ac:dyDescent="0.25">
      <c r="A15" s="34"/>
      <c r="B15" s="79"/>
      <c r="C15" s="78"/>
      <c r="D15" s="76"/>
      <c r="E15" s="73"/>
      <c r="F15" s="74"/>
      <c r="G15" s="73"/>
      <c r="H15" s="75"/>
      <c r="I15" s="75"/>
      <c r="J15" s="21" t="str">
        <f>IF(H15&lt;&gt;"",H15*I15,"")</f>
        <v/>
      </c>
      <c r="K15" s="38"/>
      <c r="L15" s="6" t="s">
        <v>8</v>
      </c>
      <c r="M15" s="5" t="s">
        <v>41</v>
      </c>
      <c r="N15" s="42"/>
      <c r="O15" s="47"/>
      <c r="P15" s="48" t="s">
        <v>5</v>
      </c>
    </row>
    <row r="16" spans="1:16" x14ac:dyDescent="0.25">
      <c r="A16" s="25"/>
      <c r="B16" s="25"/>
      <c r="C16" s="23"/>
      <c r="D16" s="22"/>
      <c r="E16" s="23"/>
      <c r="F16" s="22"/>
      <c r="G16" s="23"/>
      <c r="H16" s="22"/>
      <c r="I16" s="22"/>
      <c r="J16" s="21" t="str">
        <f>IF(H16&lt;&gt;"",H16*I16,"")</f>
        <v/>
      </c>
      <c r="K16" s="38"/>
      <c r="L16" s="6" t="s">
        <v>8</v>
      </c>
      <c r="M16" s="5" t="s">
        <v>41</v>
      </c>
      <c r="N16" s="42"/>
      <c r="O16" s="49"/>
      <c r="P16" s="48" t="s">
        <v>5</v>
      </c>
    </row>
    <row r="17" spans="1:16" ht="14.25" thickBot="1" x14ac:dyDescent="0.3">
      <c r="A17" s="72"/>
      <c r="B17" s="71"/>
      <c r="C17" s="71"/>
      <c r="D17" s="71"/>
      <c r="E17" s="70" t="s">
        <v>2</v>
      </c>
      <c r="F17" s="69"/>
      <c r="G17" s="68"/>
      <c r="H17" s="15">
        <f>H11</f>
        <v>2</v>
      </c>
      <c r="I17" s="67">
        <f>H17*10</f>
        <v>20</v>
      </c>
      <c r="J17" s="14">
        <f>SUM(J12:J16,)</f>
        <v>0</v>
      </c>
      <c r="K17" s="13">
        <f>J17/I17</f>
        <v>0</v>
      </c>
      <c r="L17" s="6" t="s">
        <v>1</v>
      </c>
      <c r="M17" s="5" t="s">
        <v>41</v>
      </c>
      <c r="N17" s="5"/>
      <c r="O17" s="4"/>
    </row>
    <row r="18" spans="1:16" ht="15" thickTop="1" thickBot="1" x14ac:dyDescent="0.3">
      <c r="A18" s="82"/>
      <c r="B18" s="81"/>
      <c r="C18" s="81"/>
      <c r="D18" s="81"/>
      <c r="E18" s="126">
        <f>E9+1</f>
        <v>46175</v>
      </c>
      <c r="F18" s="127"/>
      <c r="G18" s="80"/>
      <c r="H18" s="64"/>
      <c r="I18" s="63"/>
      <c r="J18" s="62"/>
      <c r="K18" s="61"/>
      <c r="L18" s="6" t="s">
        <v>30</v>
      </c>
      <c r="M18" s="5" t="s">
        <v>40</v>
      </c>
      <c r="N18" s="5"/>
      <c r="O18" s="4"/>
    </row>
    <row r="19" spans="1:16" ht="28.5" thickTop="1" thickBot="1" x14ac:dyDescent="0.3">
      <c r="A19" s="60" t="s">
        <v>29</v>
      </c>
      <c r="B19" s="57" t="s">
        <v>28</v>
      </c>
      <c r="C19" s="57" t="s">
        <v>27</v>
      </c>
      <c r="D19" s="57" t="s">
        <v>26</v>
      </c>
      <c r="E19" s="59" t="s">
        <v>25</v>
      </c>
      <c r="F19" s="57" t="s">
        <v>24</v>
      </c>
      <c r="G19" s="58" t="s">
        <v>23</v>
      </c>
      <c r="H19" s="57" t="s">
        <v>22</v>
      </c>
      <c r="I19" s="57" t="s">
        <v>21</v>
      </c>
      <c r="J19" s="56" t="s">
        <v>20</v>
      </c>
      <c r="K19" s="55" t="s">
        <v>19</v>
      </c>
      <c r="L19" s="6" t="s">
        <v>18</v>
      </c>
      <c r="M19" s="5" t="s">
        <v>40</v>
      </c>
      <c r="N19" s="5"/>
      <c r="O19" s="50"/>
    </row>
    <row r="20" spans="1:16" ht="14.25" thickTop="1" x14ac:dyDescent="0.25">
      <c r="A20" s="44"/>
      <c r="B20" s="44"/>
      <c r="C20" s="54"/>
      <c r="D20" s="44"/>
      <c r="E20" s="45" t="s">
        <v>17</v>
      </c>
      <c r="F20" s="44"/>
      <c r="G20" s="54"/>
      <c r="H20" s="43">
        <v>2</v>
      </c>
      <c r="I20" s="41">
        <f>H20*10</f>
        <v>20</v>
      </c>
      <c r="J20" s="40">
        <f>SUM(J21:J25)/I20</f>
        <v>0</v>
      </c>
      <c r="K20" s="39" t="str">
        <f>SUM(J21:J25)&amp;" "&amp;"Hrs"&amp;" "&amp;"GRUPO 1"</f>
        <v>0 Hrs GRUPO 1</v>
      </c>
      <c r="L20" s="6" t="s">
        <v>8</v>
      </c>
      <c r="M20" s="5" t="s">
        <v>40</v>
      </c>
      <c r="N20" s="42"/>
      <c r="O20" s="49"/>
      <c r="P20" s="48" t="s">
        <v>7</v>
      </c>
    </row>
    <row r="21" spans="1:16" x14ac:dyDescent="0.25">
      <c r="A21" s="25"/>
      <c r="B21" s="52"/>
      <c r="C21" s="53"/>
      <c r="D21" s="52"/>
      <c r="E21" s="23"/>
      <c r="F21" s="25"/>
      <c r="G21" s="23"/>
      <c r="H21" s="25"/>
      <c r="I21" s="25"/>
      <c r="J21" s="21" t="str">
        <f>IF(H21&lt;&gt;"",H21*I21,"")</f>
        <v/>
      </c>
      <c r="K21" s="38"/>
      <c r="L21" s="6" t="s">
        <v>8</v>
      </c>
      <c r="M21" s="5" t="s">
        <v>40</v>
      </c>
      <c r="N21" s="42"/>
      <c r="O21" s="46"/>
      <c r="P21" s="48" t="s">
        <v>7</v>
      </c>
    </row>
    <row r="22" spans="1:16" x14ac:dyDescent="0.25">
      <c r="A22" s="25"/>
      <c r="B22" s="52"/>
      <c r="C22" s="53"/>
      <c r="D22" s="52"/>
      <c r="E22" s="30"/>
      <c r="F22" s="25"/>
      <c r="G22" s="23"/>
      <c r="H22" s="25"/>
      <c r="I22" s="25"/>
      <c r="J22" s="21" t="str">
        <f>IF(H22&lt;&gt;"",H22*I22,"")</f>
        <v/>
      </c>
      <c r="K22" s="38"/>
      <c r="L22" s="6" t="s">
        <v>8</v>
      </c>
      <c r="M22" s="5" t="s">
        <v>40</v>
      </c>
      <c r="N22" s="42"/>
      <c r="O22" s="49"/>
      <c r="P22" s="48" t="s">
        <v>7</v>
      </c>
    </row>
    <row r="23" spans="1:16" x14ac:dyDescent="0.25">
      <c r="A23" s="34"/>
      <c r="B23" s="33"/>
      <c r="C23" s="32"/>
      <c r="D23" s="31"/>
      <c r="E23" s="30"/>
      <c r="F23" s="29"/>
      <c r="G23" s="28"/>
      <c r="H23" s="27"/>
      <c r="I23" s="27"/>
      <c r="J23" s="21" t="str">
        <f>IF(H23&lt;&gt;"",H23*I23,"")</f>
        <v/>
      </c>
      <c r="K23" s="38"/>
      <c r="L23" s="6" t="s">
        <v>8</v>
      </c>
      <c r="M23" s="5" t="s">
        <v>40</v>
      </c>
      <c r="N23" s="42"/>
      <c r="O23" s="49"/>
      <c r="P23" s="51" t="s">
        <v>9</v>
      </c>
    </row>
    <row r="24" spans="1:16" x14ac:dyDescent="0.25">
      <c r="A24" s="26"/>
      <c r="B24" s="25"/>
      <c r="C24" s="24"/>
      <c r="D24" s="22"/>
      <c r="E24" s="23"/>
      <c r="F24" s="22"/>
      <c r="G24" s="23"/>
      <c r="H24" s="22"/>
      <c r="I24" s="22"/>
      <c r="J24" s="21" t="str">
        <f>IF(H24&lt;&gt;"",H24*I24,"")</f>
        <v/>
      </c>
      <c r="K24" s="38"/>
      <c r="L24" s="6" t="s">
        <v>8</v>
      </c>
      <c r="M24" s="5" t="s">
        <v>40</v>
      </c>
      <c r="N24" s="42"/>
      <c r="O24" s="47"/>
      <c r="P24" s="48" t="s">
        <v>5</v>
      </c>
    </row>
    <row r="25" spans="1:16" x14ac:dyDescent="0.25">
      <c r="A25" s="25"/>
      <c r="B25" s="25"/>
      <c r="C25" s="23"/>
      <c r="D25" s="22"/>
      <c r="E25" s="23"/>
      <c r="F25" s="22"/>
      <c r="G25" s="23"/>
      <c r="H25" s="22"/>
      <c r="I25" s="22"/>
      <c r="J25" s="21" t="str">
        <f>IF(H25&lt;&gt;"",H25*I25,"")</f>
        <v/>
      </c>
      <c r="K25" s="38"/>
      <c r="L25" s="6" t="s">
        <v>8</v>
      </c>
      <c r="M25" s="5" t="s">
        <v>40</v>
      </c>
      <c r="N25" s="42"/>
      <c r="O25" s="49"/>
      <c r="P25" s="48" t="s">
        <v>5</v>
      </c>
    </row>
    <row r="26" spans="1:16" ht="14.25" thickBot="1" x14ac:dyDescent="0.3">
      <c r="A26" s="72"/>
      <c r="B26" s="71"/>
      <c r="C26" s="71"/>
      <c r="D26" s="71"/>
      <c r="E26" s="70" t="s">
        <v>2</v>
      </c>
      <c r="F26" s="69"/>
      <c r="G26" s="68"/>
      <c r="H26" s="15">
        <f>H20</f>
        <v>2</v>
      </c>
      <c r="I26" s="67">
        <f>H26*10</f>
        <v>20</v>
      </c>
      <c r="J26" s="14">
        <f>SUM(J21:J25,)</f>
        <v>0</v>
      </c>
      <c r="K26" s="13">
        <f>J26/I26</f>
        <v>0</v>
      </c>
      <c r="L26" s="6" t="s">
        <v>1</v>
      </c>
      <c r="M26" s="5" t="s">
        <v>40</v>
      </c>
      <c r="N26" s="5"/>
      <c r="O26" s="4"/>
    </row>
    <row r="27" spans="1:16" ht="15" thickTop="1" thickBot="1" x14ac:dyDescent="0.3">
      <c r="A27" s="66"/>
      <c r="B27" s="63"/>
      <c r="C27" s="63"/>
      <c r="D27" s="63"/>
      <c r="E27" s="117">
        <f>E18+1</f>
        <v>46176</v>
      </c>
      <c r="F27" s="118"/>
      <c r="G27" s="65"/>
      <c r="H27" s="64"/>
      <c r="I27" s="63"/>
      <c r="J27" s="62"/>
      <c r="K27" s="61"/>
      <c r="L27" s="6" t="s">
        <v>30</v>
      </c>
      <c r="M27" s="5" t="s">
        <v>39</v>
      </c>
      <c r="N27" s="5"/>
      <c r="O27" s="4"/>
    </row>
    <row r="28" spans="1:16" ht="28.5" thickTop="1" thickBot="1" x14ac:dyDescent="0.3">
      <c r="A28" s="60" t="s">
        <v>29</v>
      </c>
      <c r="B28" s="57" t="s">
        <v>28</v>
      </c>
      <c r="C28" s="57" t="s">
        <v>27</v>
      </c>
      <c r="D28" s="57" t="s">
        <v>26</v>
      </c>
      <c r="E28" s="59" t="s">
        <v>25</v>
      </c>
      <c r="F28" s="57" t="s">
        <v>24</v>
      </c>
      <c r="G28" s="58" t="s">
        <v>23</v>
      </c>
      <c r="H28" s="57" t="s">
        <v>22</v>
      </c>
      <c r="I28" s="57" t="s">
        <v>21</v>
      </c>
      <c r="J28" s="56" t="s">
        <v>20</v>
      </c>
      <c r="K28" s="55" t="s">
        <v>19</v>
      </c>
      <c r="L28" s="6" t="s">
        <v>18</v>
      </c>
      <c r="M28" s="5" t="s">
        <v>39</v>
      </c>
      <c r="N28" s="5"/>
      <c r="O28" s="50"/>
    </row>
    <row r="29" spans="1:16" ht="14.25" thickTop="1" x14ac:dyDescent="0.25">
      <c r="A29" s="44"/>
      <c r="B29" s="44"/>
      <c r="C29" s="54"/>
      <c r="D29" s="44"/>
      <c r="E29" s="45" t="s">
        <v>17</v>
      </c>
      <c r="F29" s="44"/>
      <c r="G29" s="54"/>
      <c r="H29" s="43">
        <v>2</v>
      </c>
      <c r="I29" s="41">
        <f>H29*10</f>
        <v>20</v>
      </c>
      <c r="J29" s="40">
        <f>SUM(J30:J34)/I29</f>
        <v>0</v>
      </c>
      <c r="K29" s="39" t="str">
        <f>SUM(J30:J34)&amp;" "&amp;"Hrs"&amp;" "&amp;"GRUPO 1"</f>
        <v>0 Hrs GRUPO 1</v>
      </c>
      <c r="L29" s="6" t="s">
        <v>8</v>
      </c>
      <c r="M29" s="5" t="s">
        <v>39</v>
      </c>
      <c r="N29" s="42"/>
      <c r="O29" s="49"/>
      <c r="P29" s="48" t="s">
        <v>7</v>
      </c>
    </row>
    <row r="30" spans="1:16" x14ac:dyDescent="0.25">
      <c r="A30" s="25"/>
      <c r="B30" s="52"/>
      <c r="C30" s="53"/>
      <c r="D30" s="52"/>
      <c r="E30" s="23"/>
      <c r="F30" s="25"/>
      <c r="G30" s="23"/>
      <c r="H30" s="25"/>
      <c r="I30" s="25"/>
      <c r="J30" s="21" t="str">
        <f>IF(H30&lt;&gt;"",H30*I30,"")</f>
        <v/>
      </c>
      <c r="K30" s="38"/>
      <c r="L30" s="6" t="s">
        <v>8</v>
      </c>
      <c r="M30" s="5" t="s">
        <v>39</v>
      </c>
      <c r="N30" s="42"/>
      <c r="O30" s="46"/>
      <c r="P30" s="48" t="s">
        <v>7</v>
      </c>
    </row>
    <row r="31" spans="1:16" x14ac:dyDescent="0.25">
      <c r="A31" s="25"/>
      <c r="B31" s="52"/>
      <c r="C31" s="53"/>
      <c r="D31" s="52"/>
      <c r="E31" s="30"/>
      <c r="F31" s="25"/>
      <c r="G31" s="23"/>
      <c r="H31" s="25"/>
      <c r="I31" s="25"/>
      <c r="J31" s="21" t="str">
        <f>IF(H31&lt;&gt;"",H31*I31,"")</f>
        <v/>
      </c>
      <c r="K31" s="38"/>
      <c r="L31" s="6" t="s">
        <v>8</v>
      </c>
      <c r="M31" s="5" t="s">
        <v>39</v>
      </c>
      <c r="N31" s="42"/>
      <c r="O31" s="49"/>
      <c r="P31" s="48" t="s">
        <v>7</v>
      </c>
    </row>
    <row r="32" spans="1:16" x14ac:dyDescent="0.25">
      <c r="A32" s="34"/>
      <c r="B32" s="33"/>
      <c r="C32" s="32"/>
      <c r="D32" s="31"/>
      <c r="E32" s="30"/>
      <c r="F32" s="29"/>
      <c r="G32" s="28"/>
      <c r="H32" s="27"/>
      <c r="I32" s="27"/>
      <c r="J32" s="21" t="str">
        <f>IF(H32&lt;&gt;"",H32*I32,"")</f>
        <v/>
      </c>
      <c r="K32" s="38"/>
      <c r="L32" s="6" t="s">
        <v>8</v>
      </c>
      <c r="M32" s="5" t="s">
        <v>39</v>
      </c>
      <c r="N32" s="42"/>
      <c r="O32" s="49"/>
      <c r="P32" s="51" t="s">
        <v>9</v>
      </c>
    </row>
    <row r="33" spans="1:16" x14ac:dyDescent="0.25">
      <c r="A33" s="26"/>
      <c r="B33" s="25"/>
      <c r="C33" s="24"/>
      <c r="D33" s="22"/>
      <c r="E33" s="23"/>
      <c r="F33" s="22"/>
      <c r="G33" s="23"/>
      <c r="H33" s="22"/>
      <c r="I33" s="22"/>
      <c r="J33" s="21" t="str">
        <f>IF(H33&lt;&gt;"",H33*I33,"")</f>
        <v/>
      </c>
      <c r="K33" s="38"/>
      <c r="L33" s="6" t="s">
        <v>8</v>
      </c>
      <c r="M33" s="5" t="s">
        <v>39</v>
      </c>
      <c r="N33" s="42"/>
      <c r="O33" s="47"/>
      <c r="P33" s="48" t="s">
        <v>5</v>
      </c>
    </row>
    <row r="34" spans="1:16" x14ac:dyDescent="0.25">
      <c r="A34" s="26"/>
      <c r="B34" s="25"/>
      <c r="C34" s="24"/>
      <c r="D34" s="22"/>
      <c r="E34" s="23"/>
      <c r="F34" s="22"/>
      <c r="G34" s="23"/>
      <c r="H34" s="22"/>
      <c r="I34" s="22"/>
      <c r="J34" s="21" t="str">
        <f>IF(H34&lt;&gt;"",H34*I34,"")</f>
        <v/>
      </c>
      <c r="K34" s="38"/>
      <c r="L34" s="6" t="s">
        <v>8</v>
      </c>
      <c r="M34" s="5" t="s">
        <v>39</v>
      </c>
      <c r="N34" s="42"/>
      <c r="O34" s="49"/>
      <c r="P34" s="48" t="s">
        <v>5</v>
      </c>
    </row>
    <row r="35" spans="1:16" ht="14.25" thickBot="1" x14ac:dyDescent="0.3">
      <c r="A35" s="72"/>
      <c r="B35" s="71"/>
      <c r="C35" s="71"/>
      <c r="D35" s="71"/>
      <c r="E35" s="70" t="s">
        <v>2</v>
      </c>
      <c r="F35" s="69"/>
      <c r="G35" s="68"/>
      <c r="H35" s="15">
        <f>H29</f>
        <v>2</v>
      </c>
      <c r="I35" s="67">
        <f>H35*10</f>
        <v>20</v>
      </c>
      <c r="J35" s="14">
        <f>SUM(J30:J34,)</f>
        <v>0</v>
      </c>
      <c r="K35" s="13">
        <f>J35/I35</f>
        <v>0</v>
      </c>
      <c r="L35" s="6" t="s">
        <v>1</v>
      </c>
      <c r="M35" s="5" t="s">
        <v>39</v>
      </c>
      <c r="N35" s="5"/>
      <c r="O35" s="4"/>
    </row>
    <row r="36" spans="1:16" ht="15" thickTop="1" thickBot="1" x14ac:dyDescent="0.3">
      <c r="A36" s="66"/>
      <c r="B36" s="63"/>
      <c r="C36" s="63"/>
      <c r="D36" s="63"/>
      <c r="E36" s="117">
        <f>E27+1</f>
        <v>46177</v>
      </c>
      <c r="F36" s="118"/>
      <c r="G36" s="65"/>
      <c r="H36" s="64"/>
      <c r="I36" s="63"/>
      <c r="J36" s="62"/>
      <c r="K36" s="61"/>
      <c r="L36" s="6" t="s">
        <v>30</v>
      </c>
      <c r="M36" s="5" t="s">
        <v>38</v>
      </c>
      <c r="N36" s="5"/>
      <c r="O36" s="4"/>
    </row>
    <row r="37" spans="1:16" ht="28.5" thickTop="1" thickBot="1" x14ac:dyDescent="0.3">
      <c r="A37" s="60" t="s">
        <v>29</v>
      </c>
      <c r="B37" s="57" t="s">
        <v>28</v>
      </c>
      <c r="C37" s="57" t="s">
        <v>27</v>
      </c>
      <c r="D37" s="57" t="s">
        <v>26</v>
      </c>
      <c r="E37" s="59" t="s">
        <v>25</v>
      </c>
      <c r="F37" s="57" t="s">
        <v>24</v>
      </c>
      <c r="G37" s="58" t="s">
        <v>23</v>
      </c>
      <c r="H37" s="57" t="s">
        <v>22</v>
      </c>
      <c r="I37" s="57" t="s">
        <v>21</v>
      </c>
      <c r="J37" s="56" t="s">
        <v>20</v>
      </c>
      <c r="K37" s="55" t="s">
        <v>19</v>
      </c>
      <c r="L37" s="6" t="s">
        <v>18</v>
      </c>
      <c r="M37" s="5" t="s">
        <v>38</v>
      </c>
      <c r="N37" s="5"/>
      <c r="O37" s="50"/>
    </row>
    <row r="38" spans="1:16" ht="14.25" thickTop="1" x14ac:dyDescent="0.25">
      <c r="A38" s="44"/>
      <c r="B38" s="44"/>
      <c r="C38" s="54"/>
      <c r="D38" s="44"/>
      <c r="E38" s="45" t="s">
        <v>17</v>
      </c>
      <c r="F38" s="44"/>
      <c r="G38" s="54"/>
      <c r="H38" s="43">
        <v>2</v>
      </c>
      <c r="I38" s="41">
        <f>H38*10</f>
        <v>20</v>
      </c>
      <c r="J38" s="40">
        <f>SUM(J39:J43)/I38</f>
        <v>0</v>
      </c>
      <c r="K38" s="39" t="str">
        <f>SUM(J39:J43)&amp;" "&amp;"Hrs"&amp;" "&amp;"GRUPO 1"</f>
        <v>0 Hrs GRUPO 1</v>
      </c>
      <c r="L38" s="6" t="s">
        <v>8</v>
      </c>
      <c r="M38" s="5" t="s">
        <v>38</v>
      </c>
      <c r="N38" s="42"/>
      <c r="O38" s="49"/>
      <c r="P38" s="48" t="s">
        <v>7</v>
      </c>
    </row>
    <row r="39" spans="1:16" x14ac:dyDescent="0.25">
      <c r="A39" s="25"/>
      <c r="B39" s="52"/>
      <c r="C39" s="53"/>
      <c r="D39" s="52"/>
      <c r="E39" s="23"/>
      <c r="F39" s="25"/>
      <c r="G39" s="23"/>
      <c r="H39" s="25"/>
      <c r="I39" s="25"/>
      <c r="J39" s="21" t="str">
        <f>IF(H39&lt;&gt;"",H39*I39,"")</f>
        <v/>
      </c>
      <c r="K39" s="38"/>
      <c r="L39" s="6" t="s">
        <v>8</v>
      </c>
      <c r="M39" s="5" t="s">
        <v>38</v>
      </c>
      <c r="N39" s="42"/>
      <c r="O39" s="46"/>
      <c r="P39" s="48" t="s">
        <v>7</v>
      </c>
    </row>
    <row r="40" spans="1:16" x14ac:dyDescent="0.25">
      <c r="A40" s="25"/>
      <c r="B40" s="52"/>
      <c r="C40" s="53"/>
      <c r="D40" s="52"/>
      <c r="E40" s="30"/>
      <c r="F40" s="25"/>
      <c r="G40" s="23"/>
      <c r="H40" s="25"/>
      <c r="I40" s="25"/>
      <c r="J40" s="21" t="str">
        <f>IF(H40&lt;&gt;"",H40*I40,"")</f>
        <v/>
      </c>
      <c r="K40" s="38"/>
      <c r="L40" s="6" t="s">
        <v>8</v>
      </c>
      <c r="M40" s="5" t="s">
        <v>38</v>
      </c>
      <c r="N40" s="5"/>
      <c r="O40" s="49"/>
      <c r="P40" s="48" t="s">
        <v>7</v>
      </c>
    </row>
    <row r="41" spans="1:16" x14ac:dyDescent="0.25">
      <c r="A41" s="34"/>
      <c r="B41" s="52"/>
      <c r="C41" s="53"/>
      <c r="D41" s="52"/>
      <c r="E41" s="73"/>
      <c r="F41" s="74"/>
      <c r="G41" s="73"/>
      <c r="H41" s="77"/>
      <c r="I41" s="77"/>
      <c r="J41" s="21" t="str">
        <f>IF(H41&lt;&gt;"",H41*I41,"")</f>
        <v/>
      </c>
      <c r="K41" s="38"/>
      <c r="L41" s="6" t="s">
        <v>8</v>
      </c>
      <c r="M41" s="5" t="s">
        <v>38</v>
      </c>
      <c r="N41" s="42"/>
      <c r="O41" s="49"/>
      <c r="P41" s="51" t="s">
        <v>9</v>
      </c>
    </row>
    <row r="42" spans="1:16" x14ac:dyDescent="0.25">
      <c r="A42" s="34"/>
      <c r="B42" s="33"/>
      <c r="C42" s="32"/>
      <c r="D42" s="31"/>
      <c r="E42" s="30"/>
      <c r="F42" s="29"/>
      <c r="G42" s="28"/>
      <c r="H42" s="27"/>
      <c r="I42" s="27"/>
      <c r="J42" s="21" t="str">
        <f>IF(H42&lt;&gt;"",H42*I42,"")</f>
        <v/>
      </c>
      <c r="K42" s="38"/>
      <c r="L42" s="6" t="s">
        <v>8</v>
      </c>
      <c r="M42" s="5" t="s">
        <v>38</v>
      </c>
      <c r="N42" s="42"/>
      <c r="O42" s="47"/>
      <c r="P42" s="51" t="s">
        <v>9</v>
      </c>
    </row>
    <row r="43" spans="1:16" x14ac:dyDescent="0.25">
      <c r="A43" s="34"/>
      <c r="B43" s="33"/>
      <c r="C43" s="32"/>
      <c r="D43" s="31"/>
      <c r="E43" s="30"/>
      <c r="F43" s="29"/>
      <c r="G43" s="28"/>
      <c r="H43" s="27"/>
      <c r="I43" s="27"/>
      <c r="J43" s="21" t="str">
        <f>IF(H43&lt;&gt;"",H43*I43,"")</f>
        <v/>
      </c>
      <c r="K43" s="38"/>
      <c r="L43" s="6" t="s">
        <v>8</v>
      </c>
      <c r="M43" s="5" t="s">
        <v>38</v>
      </c>
      <c r="N43" s="42"/>
      <c r="O43" s="49"/>
      <c r="P43" s="48" t="s">
        <v>7</v>
      </c>
    </row>
    <row r="44" spans="1:16" ht="14.25" thickBot="1" x14ac:dyDescent="0.3">
      <c r="A44" s="72"/>
      <c r="B44" s="71"/>
      <c r="C44" s="71"/>
      <c r="D44" s="71"/>
      <c r="E44" s="70" t="s">
        <v>2</v>
      </c>
      <c r="F44" s="69"/>
      <c r="G44" s="68"/>
      <c r="H44" s="15">
        <f>H38</f>
        <v>2</v>
      </c>
      <c r="I44" s="67">
        <f>H44*10</f>
        <v>20</v>
      </c>
      <c r="J44" s="14">
        <f>SUM(J39:J43,)</f>
        <v>0</v>
      </c>
      <c r="K44" s="13">
        <f>J44/I44</f>
        <v>0</v>
      </c>
      <c r="L44" s="6" t="s">
        <v>1</v>
      </c>
      <c r="M44" s="5" t="s">
        <v>38</v>
      </c>
      <c r="N44" s="5"/>
      <c r="O44" s="4"/>
    </row>
    <row r="45" spans="1:16" ht="15" thickTop="1" thickBot="1" x14ac:dyDescent="0.3">
      <c r="A45" s="66"/>
      <c r="B45" s="63"/>
      <c r="C45" s="63"/>
      <c r="D45" s="63"/>
      <c r="E45" s="117">
        <f>E36+1</f>
        <v>46178</v>
      </c>
      <c r="F45" s="118"/>
      <c r="G45" s="65"/>
      <c r="H45" s="64"/>
      <c r="I45" s="63"/>
      <c r="J45" s="62"/>
      <c r="K45" s="61"/>
      <c r="L45" s="6" t="s">
        <v>30</v>
      </c>
      <c r="M45" s="5" t="s">
        <v>37</v>
      </c>
      <c r="N45" s="5"/>
      <c r="O45" s="4"/>
    </row>
    <row r="46" spans="1:16" ht="28.5" thickTop="1" thickBot="1" x14ac:dyDescent="0.3">
      <c r="A46" s="60" t="s">
        <v>29</v>
      </c>
      <c r="B46" s="57" t="s">
        <v>28</v>
      </c>
      <c r="C46" s="57" t="s">
        <v>27</v>
      </c>
      <c r="D46" s="57" t="s">
        <v>26</v>
      </c>
      <c r="E46" s="59" t="s">
        <v>25</v>
      </c>
      <c r="F46" s="57" t="s">
        <v>24</v>
      </c>
      <c r="G46" s="58" t="s">
        <v>23</v>
      </c>
      <c r="H46" s="57" t="s">
        <v>22</v>
      </c>
      <c r="I46" s="57" t="s">
        <v>21</v>
      </c>
      <c r="J46" s="56" t="s">
        <v>20</v>
      </c>
      <c r="K46" s="55" t="s">
        <v>19</v>
      </c>
      <c r="L46" s="6" t="s">
        <v>18</v>
      </c>
      <c r="M46" s="5" t="s">
        <v>37</v>
      </c>
      <c r="N46" s="5"/>
      <c r="O46" s="50"/>
    </row>
    <row r="47" spans="1:16" ht="14.25" thickTop="1" x14ac:dyDescent="0.25">
      <c r="A47" s="44"/>
      <c r="B47" s="44"/>
      <c r="C47" s="54"/>
      <c r="D47" s="44"/>
      <c r="E47" s="45" t="s">
        <v>17</v>
      </c>
      <c r="F47" s="44"/>
      <c r="G47" s="54"/>
      <c r="H47" s="43">
        <v>2</v>
      </c>
      <c r="I47" s="41">
        <f>H47*10</f>
        <v>20</v>
      </c>
      <c r="J47" s="40">
        <f>SUM(J48:J52)/I47</f>
        <v>0</v>
      </c>
      <c r="K47" s="39" t="str">
        <f>SUM(J48:J52)&amp;" "&amp;"Hrs"&amp;" "&amp;"GRUPO 1"</f>
        <v>0 Hrs GRUPO 1</v>
      </c>
      <c r="L47" s="6" t="s">
        <v>8</v>
      </c>
      <c r="M47" s="5" t="s">
        <v>37</v>
      </c>
      <c r="N47" s="42"/>
      <c r="O47" s="49"/>
      <c r="P47" s="48" t="s">
        <v>7</v>
      </c>
    </row>
    <row r="48" spans="1:16" x14ac:dyDescent="0.25">
      <c r="A48" s="25"/>
      <c r="B48" s="52"/>
      <c r="C48" s="53"/>
      <c r="D48" s="52"/>
      <c r="E48" s="23"/>
      <c r="F48" s="25"/>
      <c r="G48" s="23"/>
      <c r="H48" s="25"/>
      <c r="I48" s="25"/>
      <c r="J48" s="21" t="str">
        <f>IF(H48&lt;&gt;"",H48*I48,"")</f>
        <v/>
      </c>
      <c r="K48" s="38"/>
      <c r="L48" s="6" t="s">
        <v>8</v>
      </c>
      <c r="M48" s="5" t="s">
        <v>37</v>
      </c>
      <c r="N48" s="42"/>
      <c r="O48" s="46"/>
      <c r="P48" s="48" t="s">
        <v>7</v>
      </c>
    </row>
    <row r="49" spans="1:16" x14ac:dyDescent="0.25">
      <c r="A49" s="25"/>
      <c r="B49" s="52"/>
      <c r="C49" s="53"/>
      <c r="D49" s="52"/>
      <c r="E49" s="30"/>
      <c r="F49" s="25"/>
      <c r="G49" s="23"/>
      <c r="H49" s="25"/>
      <c r="I49" s="25"/>
      <c r="J49" s="21" t="str">
        <f>IF(H49&lt;&gt;"",H49*I49,"")</f>
        <v/>
      </c>
      <c r="K49" s="38"/>
      <c r="L49" s="6" t="s">
        <v>8</v>
      </c>
      <c r="M49" s="5" t="s">
        <v>37</v>
      </c>
      <c r="N49" s="42"/>
      <c r="O49" s="49"/>
      <c r="P49" s="48" t="s">
        <v>7</v>
      </c>
    </row>
    <row r="50" spans="1:16" x14ac:dyDescent="0.25">
      <c r="A50" s="34"/>
      <c r="B50" s="33"/>
      <c r="C50" s="32"/>
      <c r="D50" s="31"/>
      <c r="E50" s="30"/>
      <c r="F50" s="29"/>
      <c r="G50" s="28"/>
      <c r="H50" s="27"/>
      <c r="I50" s="27"/>
      <c r="J50" s="21" t="str">
        <f>IF(H50&lt;&gt;"",H50*I50,"")</f>
        <v/>
      </c>
      <c r="K50" s="38"/>
      <c r="L50" s="6" t="s">
        <v>8</v>
      </c>
      <c r="M50" s="5" t="s">
        <v>37</v>
      </c>
      <c r="N50" s="42"/>
      <c r="O50" s="49"/>
      <c r="P50" s="51" t="s">
        <v>9</v>
      </c>
    </row>
    <row r="51" spans="1:16" x14ac:dyDescent="0.25">
      <c r="A51" s="34"/>
      <c r="B51" s="33"/>
      <c r="C51" s="32"/>
      <c r="D51" s="31"/>
      <c r="E51" s="30"/>
      <c r="F51" s="29"/>
      <c r="G51" s="28"/>
      <c r="H51" s="27"/>
      <c r="I51" s="27"/>
      <c r="J51" s="21" t="str">
        <f>IF(H51&lt;&gt;"",H51*I51,"")</f>
        <v/>
      </c>
      <c r="K51" s="38"/>
      <c r="L51" s="6" t="s">
        <v>8</v>
      </c>
      <c r="M51" s="5" t="s">
        <v>37</v>
      </c>
      <c r="N51" s="42"/>
      <c r="O51" s="47"/>
      <c r="P51" s="51" t="s">
        <v>9</v>
      </c>
    </row>
    <row r="52" spans="1:16" x14ac:dyDescent="0.25">
      <c r="A52" s="26"/>
      <c r="B52" s="25"/>
      <c r="C52" s="24"/>
      <c r="D52" s="22"/>
      <c r="E52" s="23"/>
      <c r="F52" s="22"/>
      <c r="G52" s="23"/>
      <c r="H52" s="22"/>
      <c r="I52" s="22"/>
      <c r="J52" s="21" t="str">
        <f>IF(H52&lt;&gt;"",H52*I52,"")</f>
        <v/>
      </c>
      <c r="K52" s="38"/>
      <c r="L52" s="6" t="s">
        <v>8</v>
      </c>
      <c r="M52" s="5" t="s">
        <v>37</v>
      </c>
      <c r="N52" s="42"/>
      <c r="O52" s="49"/>
      <c r="P52" s="48" t="s">
        <v>7</v>
      </c>
    </row>
    <row r="53" spans="1:16" ht="14.25" thickBot="1" x14ac:dyDescent="0.3">
      <c r="A53" s="72"/>
      <c r="B53" s="71"/>
      <c r="C53" s="71"/>
      <c r="D53" s="71"/>
      <c r="E53" s="70" t="s">
        <v>2</v>
      </c>
      <c r="F53" s="69"/>
      <c r="G53" s="68"/>
      <c r="H53" s="15">
        <f>H47</f>
        <v>2</v>
      </c>
      <c r="I53" s="67">
        <f>H53*10</f>
        <v>20</v>
      </c>
      <c r="J53" s="14">
        <f>SUM(J48:J52,)</f>
        <v>0</v>
      </c>
      <c r="K53" s="13">
        <f>J53/I53</f>
        <v>0</v>
      </c>
      <c r="L53" s="6" t="s">
        <v>1</v>
      </c>
      <c r="M53" s="5" t="s">
        <v>37</v>
      </c>
      <c r="N53" s="5"/>
      <c r="O53" s="4"/>
    </row>
    <row r="54" spans="1:16" ht="15" thickTop="1" thickBot="1" x14ac:dyDescent="0.3">
      <c r="A54" s="66"/>
      <c r="B54" s="63"/>
      <c r="C54" s="63"/>
      <c r="D54" s="63"/>
      <c r="E54" s="117">
        <f>E45+1</f>
        <v>46179</v>
      </c>
      <c r="F54" s="118"/>
      <c r="G54" s="65"/>
      <c r="H54" s="64"/>
      <c r="I54" s="63"/>
      <c r="J54" s="62"/>
      <c r="K54" s="61"/>
      <c r="L54" s="6" t="s">
        <v>30</v>
      </c>
      <c r="M54" s="5" t="s">
        <v>31</v>
      </c>
      <c r="N54" s="5"/>
      <c r="O54" s="4"/>
    </row>
    <row r="55" spans="1:16" ht="28.5" thickTop="1" thickBot="1" x14ac:dyDescent="0.3">
      <c r="A55" s="60" t="s">
        <v>29</v>
      </c>
      <c r="B55" s="57" t="s">
        <v>28</v>
      </c>
      <c r="C55" s="57" t="s">
        <v>27</v>
      </c>
      <c r="D55" s="57" t="s">
        <v>26</v>
      </c>
      <c r="E55" s="59" t="s">
        <v>25</v>
      </c>
      <c r="F55" s="57" t="s">
        <v>24</v>
      </c>
      <c r="G55" s="58" t="s">
        <v>23</v>
      </c>
      <c r="H55" s="57" t="s">
        <v>22</v>
      </c>
      <c r="I55" s="57" t="s">
        <v>21</v>
      </c>
      <c r="J55" s="56" t="s">
        <v>20</v>
      </c>
      <c r="K55" s="55" t="s">
        <v>19</v>
      </c>
      <c r="L55" s="6" t="s">
        <v>18</v>
      </c>
      <c r="M55" s="5" t="s">
        <v>31</v>
      </c>
      <c r="N55" s="5"/>
      <c r="O55" s="50"/>
    </row>
    <row r="56" spans="1:16" ht="14.25" thickTop="1" x14ac:dyDescent="0.25">
      <c r="A56" s="44"/>
      <c r="B56" s="44"/>
      <c r="C56" s="54"/>
      <c r="D56" s="44"/>
      <c r="E56" s="45" t="s">
        <v>17</v>
      </c>
      <c r="F56" s="44"/>
      <c r="G56" s="54"/>
      <c r="H56" s="43">
        <v>2</v>
      </c>
      <c r="I56" s="41">
        <f>H56*10</f>
        <v>20</v>
      </c>
      <c r="J56" s="40">
        <f>SUM(J57:J63)/I56</f>
        <v>0</v>
      </c>
      <c r="K56" s="39" t="str">
        <f>SUM(J57:J63)&amp;" "&amp;"Hrs"&amp;" "&amp;"GRUPO 1"</f>
        <v>0 Hrs GRUPO 1</v>
      </c>
      <c r="L56" s="6" t="s">
        <v>8</v>
      </c>
      <c r="M56" s="5" t="s">
        <v>31</v>
      </c>
      <c r="N56" s="42"/>
      <c r="O56" s="49"/>
      <c r="P56" s="48" t="s">
        <v>7</v>
      </c>
    </row>
    <row r="57" spans="1:16" x14ac:dyDescent="0.25">
      <c r="A57" s="25"/>
      <c r="B57" s="52"/>
      <c r="C57" s="53"/>
      <c r="D57" s="52"/>
      <c r="E57" s="23"/>
      <c r="F57" s="25"/>
      <c r="G57" s="23"/>
      <c r="H57" s="25"/>
      <c r="I57" s="25"/>
      <c r="J57" s="21" t="str">
        <f t="shared" ref="J57:J63" si="0">IF(H57&lt;&gt;"",H57*I57,"")</f>
        <v/>
      </c>
      <c r="K57" s="38"/>
      <c r="L57" s="6" t="s">
        <v>8</v>
      </c>
      <c r="M57" s="5" t="s">
        <v>31</v>
      </c>
      <c r="N57" s="42"/>
      <c r="O57" s="46"/>
      <c r="P57" s="48" t="s">
        <v>7</v>
      </c>
    </row>
    <row r="58" spans="1:16" x14ac:dyDescent="0.25">
      <c r="A58" s="25"/>
      <c r="B58" s="52"/>
      <c r="C58" s="53"/>
      <c r="D58" s="52"/>
      <c r="E58" s="30"/>
      <c r="F58" s="25"/>
      <c r="G58" s="23"/>
      <c r="H58" s="25"/>
      <c r="I58" s="25"/>
      <c r="J58" s="21" t="str">
        <f t="shared" si="0"/>
        <v/>
      </c>
      <c r="K58" s="38"/>
      <c r="L58" s="6" t="s">
        <v>8</v>
      </c>
      <c r="M58" s="5" t="s">
        <v>31</v>
      </c>
      <c r="N58" s="42"/>
      <c r="O58" s="49"/>
      <c r="P58" s="48" t="s">
        <v>7</v>
      </c>
    </row>
    <row r="59" spans="1:16" x14ac:dyDescent="0.25">
      <c r="A59" s="34"/>
      <c r="B59" s="52"/>
      <c r="C59" s="53"/>
      <c r="D59" s="52"/>
      <c r="E59" s="30"/>
      <c r="F59" s="29"/>
      <c r="G59" s="28"/>
      <c r="H59" s="27"/>
      <c r="I59" s="27"/>
      <c r="J59" s="21" t="str">
        <f t="shared" si="0"/>
        <v/>
      </c>
      <c r="K59" s="38"/>
      <c r="L59" s="6" t="s">
        <v>8</v>
      </c>
      <c r="M59" s="5" t="s">
        <v>31</v>
      </c>
      <c r="N59" s="42"/>
      <c r="O59" s="49"/>
      <c r="P59" s="51" t="s">
        <v>9</v>
      </c>
    </row>
    <row r="60" spans="1:16" x14ac:dyDescent="0.25">
      <c r="A60" s="26"/>
      <c r="B60" s="52"/>
      <c r="C60" s="53"/>
      <c r="D60" s="52"/>
      <c r="E60" s="23"/>
      <c r="F60" s="22"/>
      <c r="G60" s="23"/>
      <c r="H60" s="22"/>
      <c r="I60" s="22"/>
      <c r="J60" s="21" t="str">
        <f t="shared" si="0"/>
        <v/>
      </c>
      <c r="K60" s="38"/>
      <c r="L60" s="6" t="s">
        <v>8</v>
      </c>
      <c r="M60" s="5" t="s">
        <v>31</v>
      </c>
      <c r="N60" s="42"/>
      <c r="O60" s="47"/>
      <c r="P60" s="51" t="s">
        <v>9</v>
      </c>
    </row>
    <row r="61" spans="1:16" x14ac:dyDescent="0.25">
      <c r="A61" s="25"/>
      <c r="B61" s="52"/>
      <c r="C61" s="53"/>
      <c r="D61" s="52"/>
      <c r="E61" s="35"/>
      <c r="F61" s="36"/>
      <c r="G61" s="35"/>
      <c r="H61" s="27"/>
      <c r="I61" s="27"/>
      <c r="J61" s="21" t="str">
        <f t="shared" si="0"/>
        <v/>
      </c>
      <c r="K61" s="38"/>
      <c r="L61" s="6" t="s">
        <v>8</v>
      </c>
      <c r="M61" s="5" t="s">
        <v>31</v>
      </c>
      <c r="N61" s="42"/>
      <c r="O61" s="49"/>
      <c r="P61" s="48" t="s">
        <v>7</v>
      </c>
    </row>
    <row r="62" spans="1:16" x14ac:dyDescent="0.25">
      <c r="A62" s="25"/>
      <c r="B62" s="52"/>
      <c r="C62" s="53"/>
      <c r="D62" s="52"/>
      <c r="E62" s="23"/>
      <c r="F62" s="22"/>
      <c r="G62" s="23"/>
      <c r="H62" s="22"/>
      <c r="I62" s="22"/>
      <c r="J62" s="21" t="str">
        <f t="shared" si="0"/>
        <v/>
      </c>
      <c r="K62" s="38"/>
      <c r="L62" s="6" t="s">
        <v>8</v>
      </c>
      <c r="M62" s="5" t="s">
        <v>31</v>
      </c>
      <c r="N62" s="42"/>
      <c r="O62" s="49"/>
      <c r="P62" s="48" t="s">
        <v>7</v>
      </c>
    </row>
    <row r="63" spans="1:16" x14ac:dyDescent="0.25">
      <c r="A63" s="25"/>
      <c r="B63" s="25"/>
      <c r="C63" s="23"/>
      <c r="D63" s="22"/>
      <c r="E63" s="23"/>
      <c r="F63" s="22"/>
      <c r="G63" s="23"/>
      <c r="H63" s="22"/>
      <c r="I63" s="22"/>
      <c r="J63" s="21" t="str">
        <f t="shared" si="0"/>
        <v/>
      </c>
      <c r="K63" s="38"/>
      <c r="L63" s="6" t="s">
        <v>8</v>
      </c>
      <c r="M63" s="5" t="s">
        <v>31</v>
      </c>
      <c r="N63" s="42"/>
      <c r="O63" s="49"/>
      <c r="P63" s="48" t="s">
        <v>5</v>
      </c>
    </row>
    <row r="64" spans="1:16" ht="14.25" thickBot="1" x14ac:dyDescent="0.3">
      <c r="A64" s="72"/>
      <c r="B64" s="71"/>
      <c r="C64" s="71"/>
      <c r="D64" s="71"/>
      <c r="E64" s="70" t="s">
        <v>2</v>
      </c>
      <c r="F64" s="69"/>
      <c r="G64" s="68"/>
      <c r="H64" s="15">
        <f>H56</f>
        <v>2</v>
      </c>
      <c r="I64" s="67">
        <f>H64*10</f>
        <v>20</v>
      </c>
      <c r="J64" s="14">
        <f>SUM(J57:J63,)</f>
        <v>0</v>
      </c>
      <c r="K64" s="13">
        <f>J64/I64</f>
        <v>0</v>
      </c>
      <c r="L64" s="6" t="s">
        <v>1</v>
      </c>
      <c r="M64" s="5" t="s">
        <v>31</v>
      </c>
      <c r="N64" s="5"/>
      <c r="O64" s="4"/>
    </row>
    <row r="65" spans="1:16" ht="15" thickTop="1" thickBot="1" x14ac:dyDescent="0.3">
      <c r="A65" s="66"/>
      <c r="B65" s="63"/>
      <c r="C65" s="63"/>
      <c r="D65" s="63"/>
      <c r="E65" s="117">
        <f>E54+1</f>
        <v>46180</v>
      </c>
      <c r="F65" s="118"/>
      <c r="G65" s="65"/>
      <c r="H65" s="64"/>
      <c r="I65" s="63"/>
      <c r="J65" s="62"/>
      <c r="K65" s="61"/>
      <c r="L65" s="6" t="s">
        <v>30</v>
      </c>
      <c r="M65" s="5" t="s">
        <v>0</v>
      </c>
      <c r="N65" s="5"/>
      <c r="O65" s="4"/>
    </row>
    <row r="66" spans="1:16" ht="28.5" thickTop="1" thickBot="1" x14ac:dyDescent="0.3">
      <c r="A66" s="60" t="s">
        <v>29</v>
      </c>
      <c r="B66" s="57" t="s">
        <v>28</v>
      </c>
      <c r="C66" s="57" t="s">
        <v>27</v>
      </c>
      <c r="D66" s="57" t="s">
        <v>26</v>
      </c>
      <c r="E66" s="59" t="s">
        <v>25</v>
      </c>
      <c r="F66" s="57" t="s">
        <v>24</v>
      </c>
      <c r="G66" s="58" t="s">
        <v>23</v>
      </c>
      <c r="H66" s="57" t="s">
        <v>22</v>
      </c>
      <c r="I66" s="57" t="s">
        <v>21</v>
      </c>
      <c r="J66" s="56" t="s">
        <v>20</v>
      </c>
      <c r="K66" s="55" t="s">
        <v>19</v>
      </c>
      <c r="L66" s="6" t="s">
        <v>18</v>
      </c>
      <c r="M66" s="5" t="s">
        <v>0</v>
      </c>
      <c r="N66" s="5"/>
      <c r="O66" s="50"/>
    </row>
    <row r="67" spans="1:16" ht="14.25" thickTop="1" x14ac:dyDescent="0.25">
      <c r="A67" s="44"/>
      <c r="B67" s="44"/>
      <c r="C67" s="54"/>
      <c r="D67" s="44"/>
      <c r="E67" s="45" t="s">
        <v>17</v>
      </c>
      <c r="F67" s="44"/>
      <c r="G67" s="54"/>
      <c r="H67" s="43">
        <v>2</v>
      </c>
      <c r="I67" s="41">
        <f>H67*10</f>
        <v>20</v>
      </c>
      <c r="J67" s="40">
        <f>SUM(J68:J72)/I67</f>
        <v>0</v>
      </c>
      <c r="K67" s="39" t="str">
        <f>SUM(J68:J72)&amp;" "&amp;"Hrs"&amp;" "&amp;"GRUPO 1"</f>
        <v>0 Hrs GRUPO 1</v>
      </c>
      <c r="L67" s="6" t="s">
        <v>8</v>
      </c>
      <c r="M67" s="5" t="s">
        <v>0</v>
      </c>
      <c r="N67" s="42"/>
      <c r="O67" s="49"/>
      <c r="P67" s="48" t="s">
        <v>7</v>
      </c>
    </row>
    <row r="68" spans="1:16" x14ac:dyDescent="0.25">
      <c r="A68" s="25"/>
      <c r="B68" s="36"/>
      <c r="C68" s="35"/>
      <c r="D68" s="25"/>
      <c r="E68" s="35"/>
      <c r="F68" s="36"/>
      <c r="G68" s="35"/>
      <c r="H68" s="27"/>
      <c r="I68" s="27"/>
      <c r="J68" s="21" t="str">
        <f>IF(H68&lt;&gt;"",H68*I68,"")</f>
        <v/>
      </c>
      <c r="K68" s="38"/>
      <c r="L68" s="6" t="s">
        <v>8</v>
      </c>
      <c r="M68" s="5" t="s">
        <v>0</v>
      </c>
      <c r="N68" s="50"/>
      <c r="O68" s="46"/>
      <c r="P68" s="48" t="s">
        <v>7</v>
      </c>
    </row>
    <row r="69" spans="1:16" x14ac:dyDescent="0.25">
      <c r="A69" s="26"/>
      <c r="B69" s="25"/>
      <c r="C69" s="24"/>
      <c r="D69" s="22"/>
      <c r="E69" s="23"/>
      <c r="F69" s="22"/>
      <c r="G69" s="23"/>
      <c r="H69" s="22"/>
      <c r="I69" s="22"/>
      <c r="J69" s="21" t="str">
        <f>IF(H69&lt;&gt;"",H69*I69,"")</f>
        <v/>
      </c>
      <c r="K69" s="38"/>
      <c r="L69" s="6" t="s">
        <v>8</v>
      </c>
      <c r="M69" s="5" t="s">
        <v>0</v>
      </c>
      <c r="N69" s="50"/>
      <c r="O69" s="49"/>
      <c r="P69" s="48" t="s">
        <v>7</v>
      </c>
    </row>
    <row r="70" spans="1:16" x14ac:dyDescent="0.25">
      <c r="A70" s="34"/>
      <c r="B70" s="52"/>
      <c r="C70" s="53"/>
      <c r="D70" s="52"/>
      <c r="E70" s="30"/>
      <c r="F70" s="29"/>
      <c r="G70" s="28"/>
      <c r="H70" s="27"/>
      <c r="I70" s="27"/>
      <c r="J70" s="21" t="str">
        <f>IF(H70&lt;&gt;"",H70*I70,"")</f>
        <v/>
      </c>
      <c r="K70" s="38"/>
      <c r="L70" s="6" t="s">
        <v>8</v>
      </c>
      <c r="M70" s="5" t="s">
        <v>0</v>
      </c>
      <c r="N70" s="50"/>
      <c r="O70" s="49"/>
      <c r="P70" s="51" t="s">
        <v>9</v>
      </c>
    </row>
    <row r="71" spans="1:16" x14ac:dyDescent="0.25">
      <c r="A71" s="26"/>
      <c r="B71" s="25"/>
      <c r="C71" s="24"/>
      <c r="D71" s="22"/>
      <c r="E71" s="23"/>
      <c r="F71" s="22"/>
      <c r="G71" s="23"/>
      <c r="H71" s="22"/>
      <c r="I71" s="22"/>
      <c r="J71" s="21" t="str">
        <f>IF(H71&lt;&gt;"",H71*I71,"")</f>
        <v/>
      </c>
      <c r="K71" s="38"/>
      <c r="L71" s="6" t="s">
        <v>8</v>
      </c>
      <c r="M71" s="5" t="s">
        <v>0</v>
      </c>
      <c r="N71" s="50"/>
      <c r="O71" s="47"/>
      <c r="P71" s="51" t="s">
        <v>9</v>
      </c>
    </row>
    <row r="72" spans="1:16" x14ac:dyDescent="0.25">
      <c r="A72" s="26"/>
      <c r="B72" s="25"/>
      <c r="C72" s="24"/>
      <c r="D72" s="22"/>
      <c r="E72" s="23"/>
      <c r="F72" s="22"/>
      <c r="G72" s="23"/>
      <c r="H72" s="22"/>
      <c r="I72" s="22"/>
      <c r="J72" s="21" t="str">
        <f>IF(H72&lt;&gt;"",H72*I72,"")</f>
        <v/>
      </c>
      <c r="K72" s="38"/>
      <c r="L72" s="6" t="s">
        <v>8</v>
      </c>
      <c r="M72" s="5" t="s">
        <v>0</v>
      </c>
      <c r="N72" s="50"/>
      <c r="O72" s="49"/>
      <c r="P72" s="48" t="s">
        <v>7</v>
      </c>
    </row>
    <row r="73" spans="1:16" ht="14.25" thickBot="1" x14ac:dyDescent="0.3">
      <c r="A73" s="20"/>
      <c r="B73" s="19"/>
      <c r="C73" s="19"/>
      <c r="D73" s="19"/>
      <c r="E73" s="18" t="s">
        <v>2</v>
      </c>
      <c r="F73" s="17"/>
      <c r="G73" s="16"/>
      <c r="H73" s="15">
        <f>H67</f>
        <v>2</v>
      </c>
      <c r="I73" s="14">
        <f>H73*10</f>
        <v>20</v>
      </c>
      <c r="J73" s="14">
        <f>SUM(J68:J72,)</f>
        <v>0</v>
      </c>
      <c r="K73" s="13">
        <f>J73/I73</f>
        <v>0</v>
      </c>
      <c r="L73" s="6" t="s">
        <v>1</v>
      </c>
      <c r="M73" s="5" t="s">
        <v>0</v>
      </c>
      <c r="N73" s="5"/>
      <c r="O73" s="4"/>
    </row>
    <row r="74" spans="1:16" ht="14.25" thickTop="1" x14ac:dyDescent="0.25">
      <c r="A74" s="9"/>
      <c r="B74" s="9"/>
      <c r="C74" s="9"/>
      <c r="D74" s="12"/>
      <c r="E74" s="9"/>
      <c r="F74" s="11"/>
      <c r="G74" s="10"/>
      <c r="H74" s="9"/>
      <c r="I74" s="9"/>
      <c r="J74" s="8"/>
      <c r="K74" s="7"/>
      <c r="L74" s="6"/>
      <c r="M74" s="5"/>
      <c r="N74" s="5"/>
      <c r="O74" s="4"/>
    </row>
    <row r="75" spans="1:16" x14ac:dyDescent="0.25">
      <c r="A75" s="9"/>
      <c r="B75" s="9"/>
      <c r="C75" s="9"/>
      <c r="D75" s="12"/>
      <c r="E75" s="9"/>
      <c r="F75" s="11"/>
      <c r="G75" s="10"/>
      <c r="H75" s="9"/>
      <c r="I75" s="9"/>
      <c r="J75" s="8"/>
      <c r="K75" s="7"/>
      <c r="L75" s="6"/>
      <c r="M75" s="5"/>
      <c r="N75" s="5"/>
      <c r="O75" s="4"/>
    </row>
    <row r="76" spans="1:16" x14ac:dyDescent="0.25">
      <c r="A76" s="9"/>
      <c r="B76" s="9"/>
      <c r="C76" s="9"/>
      <c r="D76" s="12"/>
      <c r="E76" s="9"/>
      <c r="F76" s="11"/>
      <c r="G76" s="10"/>
      <c r="H76" s="9"/>
      <c r="I76" s="9"/>
      <c r="J76" s="8"/>
      <c r="K76" s="7"/>
      <c r="L76" s="6"/>
      <c r="M76" s="5"/>
      <c r="N76" s="5"/>
      <c r="O76" s="4"/>
    </row>
    <row r="77" spans="1:16" x14ac:dyDescent="0.25">
      <c r="A77" s="9"/>
      <c r="B77" s="9"/>
      <c r="C77" s="9"/>
      <c r="D77" s="12"/>
      <c r="E77" s="9"/>
      <c r="F77" s="11"/>
      <c r="G77" s="10"/>
      <c r="H77" s="9"/>
      <c r="I77" s="9"/>
      <c r="J77" s="8"/>
      <c r="K77" s="7"/>
      <c r="L77" s="6"/>
      <c r="M77" s="5"/>
      <c r="N77" s="5"/>
      <c r="O77" s="4"/>
    </row>
    <row r="78" spans="1:16" x14ac:dyDescent="0.25">
      <c r="A78" s="9"/>
      <c r="B78" s="9"/>
      <c r="C78" s="9"/>
      <c r="D78" s="12"/>
      <c r="E78" s="9"/>
      <c r="F78" s="11"/>
      <c r="G78" s="10"/>
      <c r="H78" s="9"/>
      <c r="I78" s="9"/>
      <c r="J78" s="8"/>
      <c r="K78" s="7"/>
      <c r="L78" s="6"/>
      <c r="M78" s="5"/>
      <c r="N78" s="5"/>
      <c r="O78" s="4"/>
    </row>
    <row r="79" spans="1:16" x14ac:dyDescent="0.25">
      <c r="A79" s="9"/>
      <c r="B79" s="9"/>
      <c r="C79" s="9"/>
      <c r="D79" s="12"/>
      <c r="E79" s="9"/>
      <c r="F79" s="11"/>
      <c r="G79" s="10"/>
      <c r="H79" s="9"/>
      <c r="I79" s="9"/>
      <c r="J79" s="8"/>
      <c r="K79" s="7"/>
      <c r="L79" s="6"/>
      <c r="M79" s="5"/>
      <c r="N79" s="5"/>
      <c r="O79" s="4"/>
    </row>
    <row r="80" spans="1:16" x14ac:dyDescent="0.25">
      <c r="A80" s="9"/>
      <c r="B80" s="9"/>
      <c r="C80" s="9"/>
      <c r="D80" s="12"/>
      <c r="E80" s="9"/>
      <c r="F80" s="11"/>
      <c r="G80" s="10"/>
      <c r="H80" s="9"/>
      <c r="I80" s="9"/>
      <c r="J80" s="8"/>
      <c r="K80" s="7"/>
      <c r="L80" s="6"/>
      <c r="M80" s="5"/>
      <c r="N80" s="5"/>
      <c r="O80" s="4"/>
    </row>
    <row r="81" spans="1:15" x14ac:dyDescent="0.25">
      <c r="A81" s="9"/>
      <c r="B81" s="9"/>
      <c r="C81" s="9"/>
      <c r="D81" s="12"/>
      <c r="E81" s="9"/>
      <c r="F81" s="11"/>
      <c r="G81" s="10"/>
      <c r="H81" s="9"/>
      <c r="I81" s="9"/>
      <c r="J81" s="8"/>
      <c r="K81" s="7"/>
      <c r="L81" s="6"/>
      <c r="M81" s="5"/>
      <c r="N81" s="5"/>
      <c r="O81" s="4"/>
    </row>
    <row r="82" spans="1:15" x14ac:dyDescent="0.25">
      <c r="A82" s="9"/>
      <c r="B82" s="9"/>
      <c r="C82" s="9"/>
      <c r="D82" s="12"/>
      <c r="E82" s="9"/>
      <c r="F82" s="11"/>
      <c r="G82" s="10"/>
      <c r="H82" s="9"/>
      <c r="I82" s="9"/>
      <c r="J82" s="8"/>
      <c r="K82" s="7"/>
      <c r="L82" s="6"/>
      <c r="M82" s="5"/>
      <c r="N82" s="5"/>
      <c r="O82" s="4"/>
    </row>
    <row r="83" spans="1:15" x14ac:dyDescent="0.25">
      <c r="A83" s="9"/>
      <c r="B83" s="9"/>
      <c r="C83" s="9"/>
      <c r="D83" s="12"/>
      <c r="E83" s="9"/>
      <c r="F83" s="11"/>
      <c r="G83" s="10"/>
      <c r="H83" s="9"/>
      <c r="I83" s="9"/>
      <c r="J83" s="8"/>
      <c r="K83" s="7"/>
      <c r="L83" s="6"/>
      <c r="M83" s="5"/>
      <c r="N83" s="5"/>
      <c r="O83" s="4"/>
    </row>
    <row r="84" spans="1:15" x14ac:dyDescent="0.25">
      <c r="A84" s="9"/>
      <c r="B84" s="9"/>
      <c r="C84" s="9"/>
      <c r="D84" s="12"/>
      <c r="E84" s="9"/>
      <c r="F84" s="11"/>
      <c r="G84" s="10"/>
      <c r="H84" s="9"/>
      <c r="I84" s="9"/>
      <c r="J84" s="8"/>
      <c r="K84" s="7"/>
      <c r="L84" s="6"/>
      <c r="M84" s="5"/>
      <c r="N84" s="5"/>
      <c r="O84" s="4"/>
    </row>
    <row r="85" spans="1:15" x14ac:dyDescent="0.25">
      <c r="A85" s="9"/>
      <c r="B85" s="9"/>
      <c r="C85" s="9"/>
      <c r="D85" s="12"/>
      <c r="E85" s="9"/>
      <c r="F85" s="11"/>
      <c r="G85" s="10"/>
      <c r="H85" s="9"/>
      <c r="I85" s="9"/>
      <c r="J85" s="8"/>
      <c r="K85" s="7"/>
      <c r="L85" s="6"/>
      <c r="M85" s="5"/>
      <c r="N85" s="5"/>
      <c r="O85" s="4"/>
    </row>
    <row r="86" spans="1:15" x14ac:dyDescent="0.25">
      <c r="A86" s="9"/>
      <c r="B86" s="9"/>
      <c r="C86" s="9"/>
      <c r="D86" s="12"/>
      <c r="E86" s="9"/>
      <c r="F86" s="11"/>
      <c r="G86" s="10"/>
      <c r="H86" s="9"/>
      <c r="I86" s="9"/>
      <c r="J86" s="8"/>
      <c r="K86" s="7"/>
      <c r="L86" s="6"/>
      <c r="M86" s="5"/>
      <c r="N86" s="5"/>
      <c r="O86" s="4"/>
    </row>
    <row r="87" spans="1:15" x14ac:dyDescent="0.25">
      <c r="A87" s="9"/>
      <c r="B87" s="9"/>
      <c r="C87" s="9"/>
      <c r="D87" s="12"/>
      <c r="E87" s="9"/>
      <c r="F87" s="11"/>
      <c r="G87" s="10"/>
      <c r="H87" s="9"/>
      <c r="I87" s="9"/>
      <c r="J87" s="8"/>
      <c r="K87" s="7"/>
      <c r="L87" s="6"/>
      <c r="M87" s="5"/>
      <c r="N87" s="5"/>
      <c r="O87" s="4"/>
    </row>
    <row r="88" spans="1:15" x14ac:dyDescent="0.25">
      <c r="A88" s="9"/>
      <c r="B88" s="9"/>
      <c r="C88" s="9"/>
      <c r="D88" s="12"/>
      <c r="E88" s="9"/>
      <c r="F88" s="11"/>
      <c r="G88" s="10"/>
      <c r="H88" s="9"/>
      <c r="I88" s="9"/>
      <c r="J88" s="8"/>
      <c r="K88" s="7"/>
      <c r="L88" s="6"/>
      <c r="M88" s="5"/>
      <c r="N88" s="5"/>
      <c r="O88" s="4"/>
    </row>
    <row r="89" spans="1:15" x14ac:dyDescent="0.25">
      <c r="A89" s="9"/>
      <c r="B89" s="9"/>
      <c r="C89" s="9"/>
      <c r="D89" s="12"/>
      <c r="E89" s="9"/>
      <c r="F89" s="11"/>
      <c r="G89" s="10"/>
      <c r="H89" s="9"/>
      <c r="I89" s="9"/>
      <c r="J89" s="8"/>
      <c r="K89" s="7"/>
      <c r="L89" s="6"/>
      <c r="M89" s="5"/>
      <c r="N89" s="5"/>
      <c r="O89" s="4"/>
    </row>
    <row r="90" spans="1:15" x14ac:dyDescent="0.25">
      <c r="A90" s="9"/>
      <c r="B90" s="9"/>
      <c r="C90" s="9"/>
      <c r="D90" s="12"/>
      <c r="E90" s="9"/>
      <c r="F90" s="11"/>
      <c r="G90" s="10"/>
      <c r="H90" s="9"/>
      <c r="I90" s="9"/>
      <c r="J90" s="8"/>
      <c r="K90" s="7"/>
      <c r="L90" s="6"/>
      <c r="M90" s="5"/>
      <c r="N90" s="5"/>
      <c r="O90" s="4"/>
    </row>
    <row r="91" spans="1:15" x14ac:dyDescent="0.25">
      <c r="A91" s="9"/>
      <c r="B91" s="9"/>
      <c r="C91" s="9"/>
      <c r="D91" s="12"/>
      <c r="E91" s="9"/>
      <c r="F91" s="11"/>
      <c r="G91" s="10"/>
      <c r="H91" s="9"/>
      <c r="I91" s="9"/>
      <c r="J91" s="8"/>
      <c r="K91" s="7"/>
      <c r="L91" s="6"/>
      <c r="M91" s="5"/>
      <c r="N91" s="5"/>
      <c r="O91" s="4"/>
    </row>
  </sheetData>
  <autoFilter ref="A10:P73" xr:uid="{00000000-0009-0000-0000-000000000000}"/>
  <mergeCells count="9">
    <mergeCell ref="E45:F45"/>
    <mergeCell ref="E54:F54"/>
    <mergeCell ref="E65:F65"/>
    <mergeCell ref="E8:G8"/>
    <mergeCell ref="I8:K8"/>
    <mergeCell ref="E9:F9"/>
    <mergeCell ref="E18:F18"/>
    <mergeCell ref="E27:F27"/>
    <mergeCell ref="E36:F36"/>
  </mergeCells>
  <conditionalFormatting sqref="B1:B7">
    <cfRule type="cellIs" dxfId="4" priority="1" stopIfTrue="1" operator="greaterThan">
      <formula>0.9</formula>
    </cfRule>
    <cfRule type="cellIs" dxfId="3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FC77-A415-4BFD-A18B-DCF185C44558}">
  <sheetPr filterMode="1"/>
  <dimension ref="A1:P24"/>
  <sheetViews>
    <sheetView zoomScale="115" zoomScaleNormal="115" workbookViewId="0">
      <selection activeCell="F38" sqref="F38"/>
    </sheetView>
  </sheetViews>
  <sheetFormatPr defaultRowHeight="15" x14ac:dyDescent="0.25"/>
  <cols>
    <col min="1" max="1" width="5.5703125" customWidth="1"/>
    <col min="2" max="2" width="6.5703125" customWidth="1"/>
    <col min="3" max="3" width="7.85546875" bestFit="1" customWidth="1"/>
    <col min="4" max="4" width="5.5703125" customWidth="1"/>
    <col min="5" max="5" width="21.5703125" customWidth="1"/>
    <col min="6" max="6" width="5.5703125" customWidth="1"/>
    <col min="7" max="7" width="24.140625" customWidth="1"/>
    <col min="8" max="8" width="13.140625" customWidth="1"/>
    <col min="9" max="9" width="24.42578125" customWidth="1"/>
    <col min="10" max="12" width="8.28515625" customWidth="1"/>
    <col min="13" max="14" width="11.5703125" customWidth="1"/>
    <col min="15" max="15" width="9" customWidth="1"/>
    <col min="16" max="16" width="8.28515625" customWidth="1"/>
  </cols>
  <sheetData>
    <row r="1" spans="1:16" ht="27" x14ac:dyDescent="0.25">
      <c r="A1" s="100"/>
      <c r="B1" s="101" t="s">
        <v>56</v>
      </c>
      <c r="C1" s="100" t="s">
        <v>57</v>
      </c>
      <c r="D1" s="100" t="s">
        <v>58</v>
      </c>
      <c r="E1" s="102" t="s">
        <v>59</v>
      </c>
      <c r="F1" s="100" t="s">
        <v>26</v>
      </c>
      <c r="G1" s="100" t="s">
        <v>60</v>
      </c>
      <c r="H1" s="100" t="s">
        <v>24</v>
      </c>
      <c r="I1" s="100" t="s">
        <v>23</v>
      </c>
      <c r="J1" s="100" t="s">
        <v>61</v>
      </c>
      <c r="K1" s="100" t="s">
        <v>21</v>
      </c>
      <c r="L1" s="100" t="s">
        <v>62</v>
      </c>
      <c r="M1" s="103" t="s">
        <v>63</v>
      </c>
      <c r="N1" s="104" t="s">
        <v>64</v>
      </c>
      <c r="O1" s="100" t="s">
        <v>65</v>
      </c>
      <c r="P1" s="100" t="s">
        <v>44</v>
      </c>
    </row>
    <row r="2" spans="1:16" x14ac:dyDescent="0.25">
      <c r="A2" s="105"/>
      <c r="B2" s="106"/>
      <c r="C2" s="107"/>
      <c r="D2" s="108"/>
      <c r="E2" s="107"/>
      <c r="F2" s="109"/>
      <c r="G2" s="110" t="s">
        <v>69</v>
      </c>
      <c r="H2" s="111"/>
      <c r="I2" s="107"/>
      <c r="J2" s="107"/>
      <c r="K2" s="107"/>
      <c r="L2" s="112"/>
      <c r="M2" s="112"/>
      <c r="N2" s="108"/>
      <c r="O2" s="113"/>
      <c r="P2" s="109">
        <v>23</v>
      </c>
    </row>
    <row r="3" spans="1:16" x14ac:dyDescent="0.25">
      <c r="A3" s="22">
        <v>1</v>
      </c>
      <c r="B3" s="114" t="s">
        <v>66</v>
      </c>
      <c r="C3" s="22">
        <v>895200</v>
      </c>
      <c r="D3" s="36" t="s">
        <v>14</v>
      </c>
      <c r="E3" s="35" t="s">
        <v>13</v>
      </c>
      <c r="F3" s="25">
        <v>3</v>
      </c>
      <c r="G3" s="114" t="s">
        <v>34</v>
      </c>
      <c r="H3" s="22" t="s">
        <v>36</v>
      </c>
      <c r="I3" s="114" t="s">
        <v>35</v>
      </c>
      <c r="J3" s="22">
        <v>1</v>
      </c>
      <c r="K3" s="115">
        <v>60</v>
      </c>
      <c r="L3" s="21">
        <f t="shared" ref="L3:L6" si="0">IF(J3&lt;&gt;"",J3*K3,"")</f>
        <v>60</v>
      </c>
      <c r="M3" s="116">
        <v>46174</v>
      </c>
      <c r="N3" s="116">
        <v>46179</v>
      </c>
      <c r="O3" s="114" t="s">
        <v>67</v>
      </c>
      <c r="P3" s="22">
        <v>23</v>
      </c>
    </row>
    <row r="4" spans="1:16" x14ac:dyDescent="0.25">
      <c r="A4" s="22">
        <v>2</v>
      </c>
      <c r="B4" s="114" t="s">
        <v>66</v>
      </c>
      <c r="C4" s="22">
        <v>895203</v>
      </c>
      <c r="D4" s="36" t="s">
        <v>14</v>
      </c>
      <c r="E4" s="35" t="s">
        <v>13</v>
      </c>
      <c r="F4" s="25">
        <v>3</v>
      </c>
      <c r="G4" s="114" t="s">
        <v>34</v>
      </c>
      <c r="H4" s="22" t="s">
        <v>33</v>
      </c>
      <c r="I4" s="114" t="s">
        <v>32</v>
      </c>
      <c r="J4" s="22">
        <v>1</v>
      </c>
      <c r="K4" s="115">
        <v>60</v>
      </c>
      <c r="L4" s="21">
        <f t="shared" si="0"/>
        <v>60</v>
      </c>
      <c r="M4" s="116">
        <v>46174</v>
      </c>
      <c r="N4" s="116">
        <v>46179</v>
      </c>
      <c r="O4" s="114" t="s">
        <v>67</v>
      </c>
      <c r="P4" s="22">
        <v>23</v>
      </c>
    </row>
    <row r="5" spans="1:16" x14ac:dyDescent="0.25">
      <c r="A5" s="22">
        <v>3</v>
      </c>
      <c r="B5" s="114" t="s">
        <v>66</v>
      </c>
      <c r="C5" s="22">
        <v>895304</v>
      </c>
      <c r="D5" s="36" t="s">
        <v>14</v>
      </c>
      <c r="E5" s="35" t="s">
        <v>13</v>
      </c>
      <c r="F5" s="25">
        <v>3</v>
      </c>
      <c r="G5" s="114" t="s">
        <v>12</v>
      </c>
      <c r="H5" s="22" t="s">
        <v>16</v>
      </c>
      <c r="I5" s="114" t="s">
        <v>15</v>
      </c>
      <c r="J5" s="22">
        <v>2</v>
      </c>
      <c r="K5" s="115">
        <v>5</v>
      </c>
      <c r="L5" s="21">
        <f t="shared" si="0"/>
        <v>10</v>
      </c>
      <c r="M5" s="116">
        <v>46180</v>
      </c>
      <c r="N5" s="116">
        <v>46180</v>
      </c>
      <c r="O5" s="114" t="s">
        <v>45</v>
      </c>
      <c r="P5" s="22">
        <v>23</v>
      </c>
    </row>
    <row r="6" spans="1:16" x14ac:dyDescent="0.25">
      <c r="A6" s="22">
        <v>4</v>
      </c>
      <c r="B6" s="114" t="s">
        <v>66</v>
      </c>
      <c r="C6" s="22">
        <v>895305</v>
      </c>
      <c r="D6" s="36" t="s">
        <v>14</v>
      </c>
      <c r="E6" s="35" t="s">
        <v>13</v>
      </c>
      <c r="F6" s="25">
        <v>3</v>
      </c>
      <c r="G6" s="114" t="s">
        <v>12</v>
      </c>
      <c r="H6" s="22" t="s">
        <v>11</v>
      </c>
      <c r="I6" s="114" t="s">
        <v>10</v>
      </c>
      <c r="J6" s="22">
        <v>2</v>
      </c>
      <c r="K6" s="115">
        <v>5</v>
      </c>
      <c r="L6" s="21">
        <f t="shared" si="0"/>
        <v>10</v>
      </c>
      <c r="M6" s="116">
        <v>46180</v>
      </c>
      <c r="N6" s="116">
        <v>46180</v>
      </c>
      <c r="O6" s="114" t="s">
        <v>45</v>
      </c>
      <c r="P6" s="22">
        <v>23</v>
      </c>
    </row>
    <row r="7" spans="1:16" hidden="1" x14ac:dyDescent="0.25">
      <c r="A7" s="105"/>
      <c r="B7" s="106"/>
      <c r="C7" s="107"/>
      <c r="D7" s="108"/>
      <c r="E7" s="107"/>
      <c r="F7" s="109"/>
      <c r="G7" s="110" t="s">
        <v>70</v>
      </c>
      <c r="H7" s="111"/>
      <c r="I7" s="107"/>
      <c r="J7" s="107"/>
      <c r="K7" s="107"/>
      <c r="L7" s="112"/>
      <c r="M7" s="112"/>
      <c r="N7" s="108"/>
      <c r="O7" s="113"/>
      <c r="P7" s="109">
        <v>24</v>
      </c>
    </row>
    <row r="8" spans="1:16" hidden="1" x14ac:dyDescent="0.25">
      <c r="A8" s="22"/>
      <c r="B8" s="114"/>
      <c r="C8" s="22"/>
      <c r="D8" s="36"/>
      <c r="E8" s="35"/>
      <c r="F8" s="25"/>
      <c r="G8" s="114"/>
      <c r="H8" s="22"/>
      <c r="I8" s="114"/>
      <c r="J8" s="22"/>
      <c r="K8" s="115"/>
      <c r="L8" s="21" t="str">
        <f t="shared" ref="L8:L12" si="1">IF(J8&lt;&gt;"",J8*K8,"")</f>
        <v/>
      </c>
      <c r="M8" s="116"/>
      <c r="N8" s="116"/>
      <c r="O8" s="114"/>
      <c r="P8" s="22">
        <v>24</v>
      </c>
    </row>
    <row r="9" spans="1:16" hidden="1" x14ac:dyDescent="0.25">
      <c r="A9" s="22"/>
      <c r="B9" s="114"/>
      <c r="C9" s="22"/>
      <c r="D9" s="36"/>
      <c r="E9" s="35"/>
      <c r="F9" s="25"/>
      <c r="G9" s="114"/>
      <c r="H9" s="22"/>
      <c r="I9" s="114"/>
      <c r="J9" s="22"/>
      <c r="K9" s="115"/>
      <c r="L9" s="21" t="str">
        <f t="shared" si="1"/>
        <v/>
      </c>
      <c r="M9" s="116"/>
      <c r="N9" s="116"/>
      <c r="O9" s="114"/>
      <c r="P9" s="22">
        <v>24</v>
      </c>
    </row>
    <row r="10" spans="1:16" hidden="1" x14ac:dyDescent="0.25">
      <c r="A10" s="22"/>
      <c r="B10" s="114"/>
      <c r="C10" s="22"/>
      <c r="D10" s="36"/>
      <c r="E10" s="35"/>
      <c r="F10" s="25"/>
      <c r="G10" s="114"/>
      <c r="H10" s="22"/>
      <c r="I10" s="114"/>
      <c r="J10" s="22"/>
      <c r="K10" s="115"/>
      <c r="L10" s="21" t="str">
        <f t="shared" ref="L10" si="2">IF(J10&lt;&gt;"",J10*K10,"")</f>
        <v/>
      </c>
      <c r="M10" s="116"/>
      <c r="N10" s="116"/>
      <c r="O10" s="114"/>
      <c r="P10" s="22">
        <v>24</v>
      </c>
    </row>
    <row r="11" spans="1:16" hidden="1" x14ac:dyDescent="0.25">
      <c r="A11" s="22"/>
      <c r="B11" s="114"/>
      <c r="C11" s="22"/>
      <c r="D11" s="36"/>
      <c r="E11" s="35"/>
      <c r="F11" s="25"/>
      <c r="G11" s="114"/>
      <c r="H11" s="22"/>
      <c r="I11" s="114"/>
      <c r="J11" s="22"/>
      <c r="K11" s="115"/>
      <c r="L11" s="21" t="str">
        <f t="shared" si="1"/>
        <v/>
      </c>
      <c r="M11" s="116"/>
      <c r="N11" s="116"/>
      <c r="O11" s="114"/>
      <c r="P11" s="22">
        <v>24</v>
      </c>
    </row>
    <row r="12" spans="1:16" hidden="1" x14ac:dyDescent="0.25">
      <c r="A12" s="22"/>
      <c r="B12" s="114"/>
      <c r="C12" s="22"/>
      <c r="D12" s="36"/>
      <c r="E12" s="35"/>
      <c r="F12" s="25"/>
      <c r="G12" s="114"/>
      <c r="H12" s="22"/>
      <c r="I12" s="114"/>
      <c r="J12" s="22"/>
      <c r="K12" s="115"/>
      <c r="L12" s="21" t="str">
        <f t="shared" si="1"/>
        <v/>
      </c>
      <c r="M12" s="116"/>
      <c r="N12" s="116"/>
      <c r="O12" s="114"/>
      <c r="P12" s="22">
        <v>24</v>
      </c>
    </row>
    <row r="13" spans="1:16" hidden="1" x14ac:dyDescent="0.25">
      <c r="A13" s="105"/>
      <c r="B13" s="106"/>
      <c r="C13" s="107"/>
      <c r="D13" s="108"/>
      <c r="E13" s="107"/>
      <c r="F13" s="109"/>
      <c r="G13" s="110" t="s">
        <v>71</v>
      </c>
      <c r="H13" s="111"/>
      <c r="I13" s="107"/>
      <c r="J13" s="107"/>
      <c r="K13" s="107"/>
      <c r="L13" s="112"/>
      <c r="M13" s="112"/>
      <c r="N13" s="108"/>
      <c r="O13" s="113"/>
      <c r="P13" s="109">
        <v>25</v>
      </c>
    </row>
    <row r="14" spans="1:16" hidden="1" x14ac:dyDescent="0.25">
      <c r="A14" s="22"/>
      <c r="B14" s="114"/>
      <c r="C14" s="22"/>
      <c r="D14" s="36"/>
      <c r="E14" s="35"/>
      <c r="F14" s="25"/>
      <c r="G14" s="114"/>
      <c r="H14" s="22"/>
      <c r="I14" s="114"/>
      <c r="J14" s="22"/>
      <c r="K14" s="115"/>
      <c r="L14" s="21" t="str">
        <f t="shared" ref="L14:L18" si="3">IF(J14&lt;&gt;"",J14*K14,"")</f>
        <v/>
      </c>
      <c r="M14" s="116"/>
      <c r="N14" s="116"/>
      <c r="O14" s="114"/>
      <c r="P14" s="22">
        <v>25</v>
      </c>
    </row>
    <row r="15" spans="1:16" hidden="1" x14ac:dyDescent="0.25">
      <c r="A15" s="22"/>
      <c r="B15" s="114"/>
      <c r="C15" s="22"/>
      <c r="D15" s="36"/>
      <c r="E15" s="35"/>
      <c r="F15" s="25"/>
      <c r="G15" s="114"/>
      <c r="H15" s="22"/>
      <c r="I15" s="114"/>
      <c r="J15" s="22"/>
      <c r="K15" s="115"/>
      <c r="L15" s="21" t="str">
        <f t="shared" si="3"/>
        <v/>
      </c>
      <c r="M15" s="116"/>
      <c r="N15" s="116"/>
      <c r="O15" s="114"/>
      <c r="P15" s="22">
        <v>25</v>
      </c>
    </row>
    <row r="16" spans="1:16" hidden="1" x14ac:dyDescent="0.25">
      <c r="A16" s="22"/>
      <c r="B16" s="114"/>
      <c r="C16" s="22"/>
      <c r="D16" s="36"/>
      <c r="E16" s="35"/>
      <c r="F16" s="25"/>
      <c r="G16" s="114"/>
      <c r="H16" s="22"/>
      <c r="I16" s="114"/>
      <c r="J16" s="22"/>
      <c r="K16" s="115"/>
      <c r="L16" s="21" t="str">
        <f t="shared" si="3"/>
        <v/>
      </c>
      <c r="M16" s="116"/>
      <c r="N16" s="116"/>
      <c r="O16" s="114"/>
      <c r="P16" s="22">
        <v>25</v>
      </c>
    </row>
    <row r="17" spans="1:16" hidden="1" x14ac:dyDescent="0.25">
      <c r="A17" s="22"/>
      <c r="B17" s="114"/>
      <c r="C17" s="22"/>
      <c r="D17" s="36"/>
      <c r="E17" s="35"/>
      <c r="F17" s="25"/>
      <c r="G17" s="114"/>
      <c r="H17" s="22"/>
      <c r="I17" s="114"/>
      <c r="J17" s="22"/>
      <c r="K17" s="115"/>
      <c r="L17" s="21" t="str">
        <f t="shared" si="3"/>
        <v/>
      </c>
      <c r="M17" s="116"/>
      <c r="N17" s="116"/>
      <c r="O17" s="114"/>
      <c r="P17" s="22">
        <v>25</v>
      </c>
    </row>
    <row r="18" spans="1:16" hidden="1" x14ac:dyDescent="0.25">
      <c r="A18" s="22"/>
      <c r="B18" s="114"/>
      <c r="C18" s="22"/>
      <c r="D18" s="36"/>
      <c r="E18" s="35"/>
      <c r="F18" s="25"/>
      <c r="G18" s="114"/>
      <c r="H18" s="22"/>
      <c r="I18" s="114"/>
      <c r="J18" s="22"/>
      <c r="K18" s="115"/>
      <c r="L18" s="21" t="str">
        <f t="shared" si="3"/>
        <v/>
      </c>
      <c r="M18" s="116"/>
      <c r="N18" s="116"/>
      <c r="O18" s="114"/>
      <c r="P18" s="22">
        <v>25</v>
      </c>
    </row>
    <row r="19" spans="1:16" hidden="1" x14ac:dyDescent="0.25">
      <c r="A19" s="105"/>
      <c r="B19" s="106"/>
      <c r="C19" s="107"/>
      <c r="D19" s="108"/>
      <c r="E19" s="107"/>
      <c r="F19" s="109"/>
      <c r="G19" s="110" t="s">
        <v>72</v>
      </c>
      <c r="H19" s="111"/>
      <c r="I19" s="107"/>
      <c r="J19" s="107"/>
      <c r="K19" s="107"/>
      <c r="L19" s="112"/>
      <c r="M19" s="112"/>
      <c r="N19" s="108"/>
      <c r="O19" s="113"/>
      <c r="P19" s="109">
        <v>26</v>
      </c>
    </row>
    <row r="20" spans="1:16" hidden="1" x14ac:dyDescent="0.25">
      <c r="A20" s="22"/>
      <c r="B20" s="114"/>
      <c r="C20" s="22"/>
      <c r="D20" s="36"/>
      <c r="E20" s="35"/>
      <c r="F20" s="25"/>
      <c r="G20" s="114"/>
      <c r="H20" s="22"/>
      <c r="I20" s="114"/>
      <c r="J20" s="22"/>
      <c r="K20" s="115"/>
      <c r="L20" s="21" t="str">
        <f t="shared" ref="L20:L24" si="4">IF(J20&lt;&gt;"",J20*K20,"")</f>
        <v/>
      </c>
      <c r="M20" s="116"/>
      <c r="N20" s="116"/>
      <c r="O20" s="114"/>
      <c r="P20" s="22">
        <v>26</v>
      </c>
    </row>
    <row r="21" spans="1:16" hidden="1" x14ac:dyDescent="0.25">
      <c r="A21" s="22"/>
      <c r="B21" s="114"/>
      <c r="C21" s="22"/>
      <c r="D21" s="36"/>
      <c r="E21" s="35"/>
      <c r="F21" s="25"/>
      <c r="G21" s="114"/>
      <c r="H21" s="22"/>
      <c r="I21" s="114"/>
      <c r="J21" s="22"/>
      <c r="K21" s="115"/>
      <c r="L21" s="21" t="str">
        <f t="shared" si="4"/>
        <v/>
      </c>
      <c r="M21" s="116"/>
      <c r="N21" s="116"/>
      <c r="O21" s="114"/>
      <c r="P21" s="22">
        <v>26</v>
      </c>
    </row>
    <row r="22" spans="1:16" hidden="1" x14ac:dyDescent="0.25">
      <c r="A22" s="22"/>
      <c r="B22" s="114"/>
      <c r="C22" s="22"/>
      <c r="D22" s="36"/>
      <c r="E22" s="35"/>
      <c r="F22" s="25"/>
      <c r="G22" s="114"/>
      <c r="H22" s="22"/>
      <c r="I22" s="114"/>
      <c r="J22" s="22"/>
      <c r="K22" s="115"/>
      <c r="L22" s="21" t="str">
        <f t="shared" si="4"/>
        <v/>
      </c>
      <c r="M22" s="116"/>
      <c r="N22" s="116"/>
      <c r="O22" s="114"/>
      <c r="P22" s="22">
        <v>26</v>
      </c>
    </row>
    <row r="23" spans="1:16" hidden="1" x14ac:dyDescent="0.25">
      <c r="A23" s="22"/>
      <c r="B23" s="114"/>
      <c r="C23" s="22"/>
      <c r="D23" s="36"/>
      <c r="E23" s="35"/>
      <c r="F23" s="25"/>
      <c r="G23" s="114"/>
      <c r="H23" s="22"/>
      <c r="I23" s="114"/>
      <c r="J23" s="22"/>
      <c r="K23" s="115"/>
      <c r="L23" s="21" t="str">
        <f t="shared" si="4"/>
        <v/>
      </c>
      <c r="M23" s="116"/>
      <c r="N23" s="116"/>
      <c r="O23" s="114"/>
      <c r="P23" s="22">
        <v>26</v>
      </c>
    </row>
    <row r="24" spans="1:16" hidden="1" x14ac:dyDescent="0.25">
      <c r="A24" s="22"/>
      <c r="B24" s="114"/>
      <c r="C24" s="22"/>
      <c r="D24" s="36"/>
      <c r="E24" s="35"/>
      <c r="F24" s="25"/>
      <c r="G24" s="114"/>
      <c r="H24" s="22"/>
      <c r="I24" s="114"/>
      <c r="J24" s="22"/>
      <c r="K24" s="115"/>
      <c r="L24" s="21" t="str">
        <f t="shared" si="4"/>
        <v/>
      </c>
      <c r="M24" s="116"/>
      <c r="N24" s="116"/>
      <c r="O24" s="114"/>
      <c r="P24" s="22">
        <v>26</v>
      </c>
    </row>
  </sheetData>
  <autoFilter ref="A1:P24" xr:uid="{DD8EFC77-A415-4BFD-A18B-DCF185C44558}">
    <filterColumn colId="15">
      <filters>
        <filter val="23"/>
      </filters>
    </filterColumn>
  </autoFilter>
  <conditionalFormatting sqref="B1:B24">
    <cfRule type="containsText" dxfId="2" priority="1" operator="containsText" text="OK">
      <formula>NOT(ISERROR(SEARCH("OK",B1)))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C667-1B03-4C97-BE41-3C23B6CF77DC}">
  <sheetPr filterMode="1">
    <pageSetUpPr fitToPage="1"/>
  </sheetPr>
  <dimension ref="A1:P91"/>
  <sheetViews>
    <sheetView tabSelected="1" zoomScale="115" zoomScaleNormal="115" workbookViewId="0">
      <selection activeCell="J31" sqref="J31"/>
    </sheetView>
  </sheetViews>
  <sheetFormatPr defaultRowHeight="13.5" x14ac:dyDescent="0.25"/>
  <cols>
    <col min="1" max="1" width="10.140625" style="3" customWidth="1"/>
    <col min="2" max="2" width="9.7109375" style="3" customWidth="1"/>
    <col min="3" max="3" width="22" style="1" customWidth="1"/>
    <col min="4" max="4" width="11.42578125" style="1" customWidth="1"/>
    <col min="5" max="5" width="34.42578125" style="1" customWidth="1"/>
    <col min="6" max="6" width="15.7109375" style="3" customWidth="1"/>
    <col min="7" max="7" width="23.85546875" style="1" customWidth="1"/>
    <col min="8" max="8" width="6.5703125" style="1" customWidth="1"/>
    <col min="9" max="9" width="6.85546875" style="1" customWidth="1"/>
    <col min="10" max="10" width="10.85546875" style="1" customWidth="1"/>
    <col min="11" max="11" width="27.140625" style="1" customWidth="1"/>
    <col min="12" max="12" width="13.7109375" style="1" customWidth="1"/>
    <col min="13" max="13" width="6" style="1" customWidth="1"/>
    <col min="14" max="14" width="3.7109375" style="1" customWidth="1"/>
    <col min="15" max="15" width="38.5703125" style="2" customWidth="1"/>
    <col min="16" max="217" width="9.140625" style="1"/>
    <col min="218" max="218" width="11.5703125" style="1" customWidth="1"/>
    <col min="219" max="219" width="12" style="1" customWidth="1"/>
    <col min="220" max="220" width="22.42578125" style="1" bestFit="1" customWidth="1"/>
    <col min="221" max="221" width="11.42578125" style="1" customWidth="1"/>
    <col min="222" max="222" width="46.42578125" style="1" bestFit="1" customWidth="1"/>
    <col min="223" max="223" width="15.7109375" style="1" customWidth="1"/>
    <col min="224" max="224" width="44" style="1" bestFit="1" customWidth="1"/>
    <col min="225" max="225" width="6.5703125" style="1" customWidth="1"/>
    <col min="226" max="226" width="6.85546875" style="1" customWidth="1"/>
    <col min="227" max="227" width="10.85546875" style="1" customWidth="1"/>
    <col min="228" max="228" width="38.28515625" style="1" customWidth="1"/>
    <col min="229" max="229" width="13.7109375" style="1" customWidth="1"/>
    <col min="230" max="230" width="6" style="1" customWidth="1"/>
    <col min="231" max="231" width="3.7109375" style="1" customWidth="1"/>
    <col min="232" max="232" width="38.5703125" style="1" customWidth="1"/>
    <col min="233" max="473" width="9.140625" style="1"/>
    <col min="474" max="474" width="11.5703125" style="1" customWidth="1"/>
    <col min="475" max="475" width="12" style="1" customWidth="1"/>
    <col min="476" max="476" width="22.42578125" style="1" bestFit="1" customWidth="1"/>
    <col min="477" max="477" width="11.42578125" style="1" customWidth="1"/>
    <col min="478" max="478" width="46.42578125" style="1" bestFit="1" customWidth="1"/>
    <col min="479" max="479" width="15.7109375" style="1" customWidth="1"/>
    <col min="480" max="480" width="44" style="1" bestFit="1" customWidth="1"/>
    <col min="481" max="481" width="6.5703125" style="1" customWidth="1"/>
    <col min="482" max="482" width="6.85546875" style="1" customWidth="1"/>
    <col min="483" max="483" width="10.85546875" style="1" customWidth="1"/>
    <col min="484" max="484" width="38.28515625" style="1" customWidth="1"/>
    <col min="485" max="485" width="13.7109375" style="1" customWidth="1"/>
    <col min="486" max="486" width="6" style="1" customWidth="1"/>
    <col min="487" max="487" width="3.7109375" style="1" customWidth="1"/>
    <col min="488" max="488" width="38.5703125" style="1" customWidth="1"/>
    <col min="489" max="729" width="9.140625" style="1"/>
    <col min="730" max="730" width="11.5703125" style="1" customWidth="1"/>
    <col min="731" max="731" width="12" style="1" customWidth="1"/>
    <col min="732" max="732" width="22.42578125" style="1" bestFit="1" customWidth="1"/>
    <col min="733" max="733" width="11.42578125" style="1" customWidth="1"/>
    <col min="734" max="734" width="46.42578125" style="1" bestFit="1" customWidth="1"/>
    <col min="735" max="735" width="15.7109375" style="1" customWidth="1"/>
    <col min="736" max="736" width="44" style="1" bestFit="1" customWidth="1"/>
    <col min="737" max="737" width="6.5703125" style="1" customWidth="1"/>
    <col min="738" max="738" width="6.85546875" style="1" customWidth="1"/>
    <col min="739" max="739" width="10.85546875" style="1" customWidth="1"/>
    <col min="740" max="740" width="38.28515625" style="1" customWidth="1"/>
    <col min="741" max="741" width="13.7109375" style="1" customWidth="1"/>
    <col min="742" max="742" width="6" style="1" customWidth="1"/>
    <col min="743" max="743" width="3.7109375" style="1" customWidth="1"/>
    <col min="744" max="744" width="38.5703125" style="1" customWidth="1"/>
    <col min="745" max="985" width="9.140625" style="1"/>
    <col min="986" max="986" width="11.5703125" style="1" customWidth="1"/>
    <col min="987" max="987" width="12" style="1" customWidth="1"/>
    <col min="988" max="988" width="22.42578125" style="1" bestFit="1" customWidth="1"/>
    <col min="989" max="989" width="11.42578125" style="1" customWidth="1"/>
    <col min="990" max="990" width="46.42578125" style="1" bestFit="1" customWidth="1"/>
    <col min="991" max="991" width="15.7109375" style="1" customWidth="1"/>
    <col min="992" max="992" width="44" style="1" bestFit="1" customWidth="1"/>
    <col min="993" max="993" width="6.5703125" style="1" customWidth="1"/>
    <col min="994" max="994" width="6.85546875" style="1" customWidth="1"/>
    <col min="995" max="995" width="10.85546875" style="1" customWidth="1"/>
    <col min="996" max="996" width="38.28515625" style="1" customWidth="1"/>
    <col min="997" max="997" width="13.7109375" style="1" customWidth="1"/>
    <col min="998" max="998" width="6" style="1" customWidth="1"/>
    <col min="999" max="999" width="3.7109375" style="1" customWidth="1"/>
    <col min="1000" max="1000" width="38.5703125" style="1" customWidth="1"/>
    <col min="1001" max="1241" width="9.140625" style="1"/>
    <col min="1242" max="1242" width="11.5703125" style="1" customWidth="1"/>
    <col min="1243" max="1243" width="12" style="1" customWidth="1"/>
    <col min="1244" max="1244" width="22.42578125" style="1" bestFit="1" customWidth="1"/>
    <col min="1245" max="1245" width="11.42578125" style="1" customWidth="1"/>
    <col min="1246" max="1246" width="46.42578125" style="1" bestFit="1" customWidth="1"/>
    <col min="1247" max="1247" width="15.7109375" style="1" customWidth="1"/>
    <col min="1248" max="1248" width="44" style="1" bestFit="1" customWidth="1"/>
    <col min="1249" max="1249" width="6.5703125" style="1" customWidth="1"/>
    <col min="1250" max="1250" width="6.85546875" style="1" customWidth="1"/>
    <col min="1251" max="1251" width="10.85546875" style="1" customWidth="1"/>
    <col min="1252" max="1252" width="38.28515625" style="1" customWidth="1"/>
    <col min="1253" max="1253" width="13.7109375" style="1" customWidth="1"/>
    <col min="1254" max="1254" width="6" style="1" customWidth="1"/>
    <col min="1255" max="1255" width="3.7109375" style="1" customWidth="1"/>
    <col min="1256" max="1256" width="38.5703125" style="1" customWidth="1"/>
    <col min="1257" max="1497" width="9.140625" style="1"/>
    <col min="1498" max="1498" width="11.5703125" style="1" customWidth="1"/>
    <col min="1499" max="1499" width="12" style="1" customWidth="1"/>
    <col min="1500" max="1500" width="22.42578125" style="1" bestFit="1" customWidth="1"/>
    <col min="1501" max="1501" width="11.42578125" style="1" customWidth="1"/>
    <col min="1502" max="1502" width="46.42578125" style="1" bestFit="1" customWidth="1"/>
    <col min="1503" max="1503" width="15.7109375" style="1" customWidth="1"/>
    <col min="1504" max="1504" width="44" style="1" bestFit="1" customWidth="1"/>
    <col min="1505" max="1505" width="6.5703125" style="1" customWidth="1"/>
    <col min="1506" max="1506" width="6.85546875" style="1" customWidth="1"/>
    <col min="1507" max="1507" width="10.85546875" style="1" customWidth="1"/>
    <col min="1508" max="1508" width="38.28515625" style="1" customWidth="1"/>
    <col min="1509" max="1509" width="13.7109375" style="1" customWidth="1"/>
    <col min="1510" max="1510" width="6" style="1" customWidth="1"/>
    <col min="1511" max="1511" width="3.7109375" style="1" customWidth="1"/>
    <col min="1512" max="1512" width="38.5703125" style="1" customWidth="1"/>
    <col min="1513" max="1753" width="9.140625" style="1"/>
    <col min="1754" max="1754" width="11.5703125" style="1" customWidth="1"/>
    <col min="1755" max="1755" width="12" style="1" customWidth="1"/>
    <col min="1756" max="1756" width="22.42578125" style="1" bestFit="1" customWidth="1"/>
    <col min="1757" max="1757" width="11.42578125" style="1" customWidth="1"/>
    <col min="1758" max="1758" width="46.42578125" style="1" bestFit="1" customWidth="1"/>
    <col min="1759" max="1759" width="15.7109375" style="1" customWidth="1"/>
    <col min="1760" max="1760" width="44" style="1" bestFit="1" customWidth="1"/>
    <col min="1761" max="1761" width="6.5703125" style="1" customWidth="1"/>
    <col min="1762" max="1762" width="6.85546875" style="1" customWidth="1"/>
    <col min="1763" max="1763" width="10.85546875" style="1" customWidth="1"/>
    <col min="1764" max="1764" width="38.28515625" style="1" customWidth="1"/>
    <col min="1765" max="1765" width="13.7109375" style="1" customWidth="1"/>
    <col min="1766" max="1766" width="6" style="1" customWidth="1"/>
    <col min="1767" max="1767" width="3.7109375" style="1" customWidth="1"/>
    <col min="1768" max="1768" width="38.5703125" style="1" customWidth="1"/>
    <col min="1769" max="2009" width="9.140625" style="1"/>
    <col min="2010" max="2010" width="11.5703125" style="1" customWidth="1"/>
    <col min="2011" max="2011" width="12" style="1" customWidth="1"/>
    <col min="2012" max="2012" width="22.42578125" style="1" bestFit="1" customWidth="1"/>
    <col min="2013" max="2013" width="11.42578125" style="1" customWidth="1"/>
    <col min="2014" max="2014" width="46.42578125" style="1" bestFit="1" customWidth="1"/>
    <col min="2015" max="2015" width="15.7109375" style="1" customWidth="1"/>
    <col min="2016" max="2016" width="44" style="1" bestFit="1" customWidth="1"/>
    <col min="2017" max="2017" width="6.5703125" style="1" customWidth="1"/>
    <col min="2018" max="2018" width="6.85546875" style="1" customWidth="1"/>
    <col min="2019" max="2019" width="10.85546875" style="1" customWidth="1"/>
    <col min="2020" max="2020" width="38.28515625" style="1" customWidth="1"/>
    <col min="2021" max="2021" width="13.7109375" style="1" customWidth="1"/>
    <col min="2022" max="2022" width="6" style="1" customWidth="1"/>
    <col min="2023" max="2023" width="3.7109375" style="1" customWidth="1"/>
    <col min="2024" max="2024" width="38.5703125" style="1" customWidth="1"/>
    <col min="2025" max="2265" width="9.140625" style="1"/>
    <col min="2266" max="2266" width="11.5703125" style="1" customWidth="1"/>
    <col min="2267" max="2267" width="12" style="1" customWidth="1"/>
    <col min="2268" max="2268" width="22.42578125" style="1" bestFit="1" customWidth="1"/>
    <col min="2269" max="2269" width="11.42578125" style="1" customWidth="1"/>
    <col min="2270" max="2270" width="46.42578125" style="1" bestFit="1" customWidth="1"/>
    <col min="2271" max="2271" width="15.7109375" style="1" customWidth="1"/>
    <col min="2272" max="2272" width="44" style="1" bestFit="1" customWidth="1"/>
    <col min="2273" max="2273" width="6.5703125" style="1" customWidth="1"/>
    <col min="2274" max="2274" width="6.85546875" style="1" customWidth="1"/>
    <col min="2275" max="2275" width="10.85546875" style="1" customWidth="1"/>
    <col min="2276" max="2276" width="38.28515625" style="1" customWidth="1"/>
    <col min="2277" max="2277" width="13.7109375" style="1" customWidth="1"/>
    <col min="2278" max="2278" width="6" style="1" customWidth="1"/>
    <col min="2279" max="2279" width="3.7109375" style="1" customWidth="1"/>
    <col min="2280" max="2280" width="38.5703125" style="1" customWidth="1"/>
    <col min="2281" max="2521" width="9.140625" style="1"/>
    <col min="2522" max="2522" width="11.5703125" style="1" customWidth="1"/>
    <col min="2523" max="2523" width="12" style="1" customWidth="1"/>
    <col min="2524" max="2524" width="22.42578125" style="1" bestFit="1" customWidth="1"/>
    <col min="2525" max="2525" width="11.42578125" style="1" customWidth="1"/>
    <col min="2526" max="2526" width="46.42578125" style="1" bestFit="1" customWidth="1"/>
    <col min="2527" max="2527" width="15.7109375" style="1" customWidth="1"/>
    <col min="2528" max="2528" width="44" style="1" bestFit="1" customWidth="1"/>
    <col min="2529" max="2529" width="6.5703125" style="1" customWidth="1"/>
    <col min="2530" max="2530" width="6.85546875" style="1" customWidth="1"/>
    <col min="2531" max="2531" width="10.85546875" style="1" customWidth="1"/>
    <col min="2532" max="2532" width="38.28515625" style="1" customWidth="1"/>
    <col min="2533" max="2533" width="13.7109375" style="1" customWidth="1"/>
    <col min="2534" max="2534" width="6" style="1" customWidth="1"/>
    <col min="2535" max="2535" width="3.7109375" style="1" customWidth="1"/>
    <col min="2536" max="2536" width="38.5703125" style="1" customWidth="1"/>
    <col min="2537" max="2777" width="9.140625" style="1"/>
    <col min="2778" max="2778" width="11.5703125" style="1" customWidth="1"/>
    <col min="2779" max="2779" width="12" style="1" customWidth="1"/>
    <col min="2780" max="2780" width="22.42578125" style="1" bestFit="1" customWidth="1"/>
    <col min="2781" max="2781" width="11.42578125" style="1" customWidth="1"/>
    <col min="2782" max="2782" width="46.42578125" style="1" bestFit="1" customWidth="1"/>
    <col min="2783" max="2783" width="15.7109375" style="1" customWidth="1"/>
    <col min="2784" max="2784" width="44" style="1" bestFit="1" customWidth="1"/>
    <col min="2785" max="2785" width="6.5703125" style="1" customWidth="1"/>
    <col min="2786" max="2786" width="6.85546875" style="1" customWidth="1"/>
    <col min="2787" max="2787" width="10.85546875" style="1" customWidth="1"/>
    <col min="2788" max="2788" width="38.28515625" style="1" customWidth="1"/>
    <col min="2789" max="2789" width="13.7109375" style="1" customWidth="1"/>
    <col min="2790" max="2790" width="6" style="1" customWidth="1"/>
    <col min="2791" max="2791" width="3.7109375" style="1" customWidth="1"/>
    <col min="2792" max="2792" width="38.5703125" style="1" customWidth="1"/>
    <col min="2793" max="3033" width="9.140625" style="1"/>
    <col min="3034" max="3034" width="11.5703125" style="1" customWidth="1"/>
    <col min="3035" max="3035" width="12" style="1" customWidth="1"/>
    <col min="3036" max="3036" width="22.42578125" style="1" bestFit="1" customWidth="1"/>
    <col min="3037" max="3037" width="11.42578125" style="1" customWidth="1"/>
    <col min="3038" max="3038" width="46.42578125" style="1" bestFit="1" customWidth="1"/>
    <col min="3039" max="3039" width="15.7109375" style="1" customWidth="1"/>
    <col min="3040" max="3040" width="44" style="1" bestFit="1" customWidth="1"/>
    <col min="3041" max="3041" width="6.5703125" style="1" customWidth="1"/>
    <col min="3042" max="3042" width="6.85546875" style="1" customWidth="1"/>
    <col min="3043" max="3043" width="10.85546875" style="1" customWidth="1"/>
    <col min="3044" max="3044" width="38.28515625" style="1" customWidth="1"/>
    <col min="3045" max="3045" width="13.7109375" style="1" customWidth="1"/>
    <col min="3046" max="3046" width="6" style="1" customWidth="1"/>
    <col min="3047" max="3047" width="3.7109375" style="1" customWidth="1"/>
    <col min="3048" max="3048" width="38.5703125" style="1" customWidth="1"/>
    <col min="3049" max="3289" width="9.140625" style="1"/>
    <col min="3290" max="3290" width="11.5703125" style="1" customWidth="1"/>
    <col min="3291" max="3291" width="12" style="1" customWidth="1"/>
    <col min="3292" max="3292" width="22.42578125" style="1" bestFit="1" customWidth="1"/>
    <col min="3293" max="3293" width="11.42578125" style="1" customWidth="1"/>
    <col min="3294" max="3294" width="46.42578125" style="1" bestFit="1" customWidth="1"/>
    <col min="3295" max="3295" width="15.7109375" style="1" customWidth="1"/>
    <col min="3296" max="3296" width="44" style="1" bestFit="1" customWidth="1"/>
    <col min="3297" max="3297" width="6.5703125" style="1" customWidth="1"/>
    <col min="3298" max="3298" width="6.85546875" style="1" customWidth="1"/>
    <col min="3299" max="3299" width="10.85546875" style="1" customWidth="1"/>
    <col min="3300" max="3300" width="38.28515625" style="1" customWidth="1"/>
    <col min="3301" max="3301" width="13.7109375" style="1" customWidth="1"/>
    <col min="3302" max="3302" width="6" style="1" customWidth="1"/>
    <col min="3303" max="3303" width="3.7109375" style="1" customWidth="1"/>
    <col min="3304" max="3304" width="38.5703125" style="1" customWidth="1"/>
    <col min="3305" max="3545" width="9.140625" style="1"/>
    <col min="3546" max="3546" width="11.5703125" style="1" customWidth="1"/>
    <col min="3547" max="3547" width="12" style="1" customWidth="1"/>
    <col min="3548" max="3548" width="22.42578125" style="1" bestFit="1" customWidth="1"/>
    <col min="3549" max="3549" width="11.42578125" style="1" customWidth="1"/>
    <col min="3550" max="3550" width="46.42578125" style="1" bestFit="1" customWidth="1"/>
    <col min="3551" max="3551" width="15.7109375" style="1" customWidth="1"/>
    <col min="3552" max="3552" width="44" style="1" bestFit="1" customWidth="1"/>
    <col min="3553" max="3553" width="6.5703125" style="1" customWidth="1"/>
    <col min="3554" max="3554" width="6.85546875" style="1" customWidth="1"/>
    <col min="3555" max="3555" width="10.85546875" style="1" customWidth="1"/>
    <col min="3556" max="3556" width="38.28515625" style="1" customWidth="1"/>
    <col min="3557" max="3557" width="13.7109375" style="1" customWidth="1"/>
    <col min="3558" max="3558" width="6" style="1" customWidth="1"/>
    <col min="3559" max="3559" width="3.7109375" style="1" customWidth="1"/>
    <col min="3560" max="3560" width="38.5703125" style="1" customWidth="1"/>
    <col min="3561" max="3801" width="9.140625" style="1"/>
    <col min="3802" max="3802" width="11.5703125" style="1" customWidth="1"/>
    <col min="3803" max="3803" width="12" style="1" customWidth="1"/>
    <col min="3804" max="3804" width="22.42578125" style="1" bestFit="1" customWidth="1"/>
    <col min="3805" max="3805" width="11.42578125" style="1" customWidth="1"/>
    <col min="3806" max="3806" width="46.42578125" style="1" bestFit="1" customWidth="1"/>
    <col min="3807" max="3807" width="15.7109375" style="1" customWidth="1"/>
    <col min="3808" max="3808" width="44" style="1" bestFit="1" customWidth="1"/>
    <col min="3809" max="3809" width="6.5703125" style="1" customWidth="1"/>
    <col min="3810" max="3810" width="6.85546875" style="1" customWidth="1"/>
    <col min="3811" max="3811" width="10.85546875" style="1" customWidth="1"/>
    <col min="3812" max="3812" width="38.28515625" style="1" customWidth="1"/>
    <col min="3813" max="3813" width="13.7109375" style="1" customWidth="1"/>
    <col min="3814" max="3814" width="6" style="1" customWidth="1"/>
    <col min="3815" max="3815" width="3.7109375" style="1" customWidth="1"/>
    <col min="3816" max="3816" width="38.5703125" style="1" customWidth="1"/>
    <col min="3817" max="4057" width="9.140625" style="1"/>
    <col min="4058" max="4058" width="11.5703125" style="1" customWidth="1"/>
    <col min="4059" max="4059" width="12" style="1" customWidth="1"/>
    <col min="4060" max="4060" width="22.42578125" style="1" bestFit="1" customWidth="1"/>
    <col min="4061" max="4061" width="11.42578125" style="1" customWidth="1"/>
    <col min="4062" max="4062" width="46.42578125" style="1" bestFit="1" customWidth="1"/>
    <col min="4063" max="4063" width="15.7109375" style="1" customWidth="1"/>
    <col min="4064" max="4064" width="44" style="1" bestFit="1" customWidth="1"/>
    <col min="4065" max="4065" width="6.5703125" style="1" customWidth="1"/>
    <col min="4066" max="4066" width="6.85546875" style="1" customWidth="1"/>
    <col min="4067" max="4067" width="10.85546875" style="1" customWidth="1"/>
    <col min="4068" max="4068" width="38.28515625" style="1" customWidth="1"/>
    <col min="4069" max="4069" width="13.7109375" style="1" customWidth="1"/>
    <col min="4070" max="4070" width="6" style="1" customWidth="1"/>
    <col min="4071" max="4071" width="3.7109375" style="1" customWidth="1"/>
    <col min="4072" max="4072" width="38.5703125" style="1" customWidth="1"/>
    <col min="4073" max="4313" width="9.140625" style="1"/>
    <col min="4314" max="4314" width="11.5703125" style="1" customWidth="1"/>
    <col min="4315" max="4315" width="12" style="1" customWidth="1"/>
    <col min="4316" max="4316" width="22.42578125" style="1" bestFit="1" customWidth="1"/>
    <col min="4317" max="4317" width="11.42578125" style="1" customWidth="1"/>
    <col min="4318" max="4318" width="46.42578125" style="1" bestFit="1" customWidth="1"/>
    <col min="4319" max="4319" width="15.7109375" style="1" customWidth="1"/>
    <col min="4320" max="4320" width="44" style="1" bestFit="1" customWidth="1"/>
    <col min="4321" max="4321" width="6.5703125" style="1" customWidth="1"/>
    <col min="4322" max="4322" width="6.85546875" style="1" customWidth="1"/>
    <col min="4323" max="4323" width="10.85546875" style="1" customWidth="1"/>
    <col min="4324" max="4324" width="38.28515625" style="1" customWidth="1"/>
    <col min="4325" max="4325" width="13.7109375" style="1" customWidth="1"/>
    <col min="4326" max="4326" width="6" style="1" customWidth="1"/>
    <col min="4327" max="4327" width="3.7109375" style="1" customWidth="1"/>
    <col min="4328" max="4328" width="38.5703125" style="1" customWidth="1"/>
    <col min="4329" max="4569" width="9.140625" style="1"/>
    <col min="4570" max="4570" width="11.5703125" style="1" customWidth="1"/>
    <col min="4571" max="4571" width="12" style="1" customWidth="1"/>
    <col min="4572" max="4572" width="22.42578125" style="1" bestFit="1" customWidth="1"/>
    <col min="4573" max="4573" width="11.42578125" style="1" customWidth="1"/>
    <col min="4574" max="4574" width="46.42578125" style="1" bestFit="1" customWidth="1"/>
    <col min="4575" max="4575" width="15.7109375" style="1" customWidth="1"/>
    <col min="4576" max="4576" width="44" style="1" bestFit="1" customWidth="1"/>
    <col min="4577" max="4577" width="6.5703125" style="1" customWidth="1"/>
    <col min="4578" max="4578" width="6.85546875" style="1" customWidth="1"/>
    <col min="4579" max="4579" width="10.85546875" style="1" customWidth="1"/>
    <col min="4580" max="4580" width="38.28515625" style="1" customWidth="1"/>
    <col min="4581" max="4581" width="13.7109375" style="1" customWidth="1"/>
    <col min="4582" max="4582" width="6" style="1" customWidth="1"/>
    <col min="4583" max="4583" width="3.7109375" style="1" customWidth="1"/>
    <col min="4584" max="4584" width="38.5703125" style="1" customWidth="1"/>
    <col min="4585" max="4825" width="9.140625" style="1"/>
    <col min="4826" max="4826" width="11.5703125" style="1" customWidth="1"/>
    <col min="4827" max="4827" width="12" style="1" customWidth="1"/>
    <col min="4828" max="4828" width="22.42578125" style="1" bestFit="1" customWidth="1"/>
    <col min="4829" max="4829" width="11.42578125" style="1" customWidth="1"/>
    <col min="4830" max="4830" width="46.42578125" style="1" bestFit="1" customWidth="1"/>
    <col min="4831" max="4831" width="15.7109375" style="1" customWidth="1"/>
    <col min="4832" max="4832" width="44" style="1" bestFit="1" customWidth="1"/>
    <col min="4833" max="4833" width="6.5703125" style="1" customWidth="1"/>
    <col min="4834" max="4834" width="6.85546875" style="1" customWidth="1"/>
    <col min="4835" max="4835" width="10.85546875" style="1" customWidth="1"/>
    <col min="4836" max="4836" width="38.28515625" style="1" customWidth="1"/>
    <col min="4837" max="4837" width="13.7109375" style="1" customWidth="1"/>
    <col min="4838" max="4838" width="6" style="1" customWidth="1"/>
    <col min="4839" max="4839" width="3.7109375" style="1" customWidth="1"/>
    <col min="4840" max="4840" width="38.5703125" style="1" customWidth="1"/>
    <col min="4841" max="5081" width="9.140625" style="1"/>
    <col min="5082" max="5082" width="11.5703125" style="1" customWidth="1"/>
    <col min="5083" max="5083" width="12" style="1" customWidth="1"/>
    <col min="5084" max="5084" width="22.42578125" style="1" bestFit="1" customWidth="1"/>
    <col min="5085" max="5085" width="11.42578125" style="1" customWidth="1"/>
    <col min="5086" max="5086" width="46.42578125" style="1" bestFit="1" customWidth="1"/>
    <col min="5087" max="5087" width="15.7109375" style="1" customWidth="1"/>
    <col min="5088" max="5088" width="44" style="1" bestFit="1" customWidth="1"/>
    <col min="5089" max="5089" width="6.5703125" style="1" customWidth="1"/>
    <col min="5090" max="5090" width="6.85546875" style="1" customWidth="1"/>
    <col min="5091" max="5091" width="10.85546875" style="1" customWidth="1"/>
    <col min="5092" max="5092" width="38.28515625" style="1" customWidth="1"/>
    <col min="5093" max="5093" width="13.7109375" style="1" customWidth="1"/>
    <col min="5094" max="5094" width="6" style="1" customWidth="1"/>
    <col min="5095" max="5095" width="3.7109375" style="1" customWidth="1"/>
    <col min="5096" max="5096" width="38.5703125" style="1" customWidth="1"/>
    <col min="5097" max="5337" width="9.140625" style="1"/>
    <col min="5338" max="5338" width="11.5703125" style="1" customWidth="1"/>
    <col min="5339" max="5339" width="12" style="1" customWidth="1"/>
    <col min="5340" max="5340" width="22.42578125" style="1" bestFit="1" customWidth="1"/>
    <col min="5341" max="5341" width="11.42578125" style="1" customWidth="1"/>
    <col min="5342" max="5342" width="46.42578125" style="1" bestFit="1" customWidth="1"/>
    <col min="5343" max="5343" width="15.7109375" style="1" customWidth="1"/>
    <col min="5344" max="5344" width="44" style="1" bestFit="1" customWidth="1"/>
    <col min="5345" max="5345" width="6.5703125" style="1" customWidth="1"/>
    <col min="5346" max="5346" width="6.85546875" style="1" customWidth="1"/>
    <col min="5347" max="5347" width="10.85546875" style="1" customWidth="1"/>
    <col min="5348" max="5348" width="38.28515625" style="1" customWidth="1"/>
    <col min="5349" max="5349" width="13.7109375" style="1" customWidth="1"/>
    <col min="5350" max="5350" width="6" style="1" customWidth="1"/>
    <col min="5351" max="5351" width="3.7109375" style="1" customWidth="1"/>
    <col min="5352" max="5352" width="38.5703125" style="1" customWidth="1"/>
    <col min="5353" max="5593" width="9.140625" style="1"/>
    <col min="5594" max="5594" width="11.5703125" style="1" customWidth="1"/>
    <col min="5595" max="5595" width="12" style="1" customWidth="1"/>
    <col min="5596" max="5596" width="22.42578125" style="1" bestFit="1" customWidth="1"/>
    <col min="5597" max="5597" width="11.42578125" style="1" customWidth="1"/>
    <col min="5598" max="5598" width="46.42578125" style="1" bestFit="1" customWidth="1"/>
    <col min="5599" max="5599" width="15.7109375" style="1" customWidth="1"/>
    <col min="5600" max="5600" width="44" style="1" bestFit="1" customWidth="1"/>
    <col min="5601" max="5601" width="6.5703125" style="1" customWidth="1"/>
    <col min="5602" max="5602" width="6.85546875" style="1" customWidth="1"/>
    <col min="5603" max="5603" width="10.85546875" style="1" customWidth="1"/>
    <col min="5604" max="5604" width="38.28515625" style="1" customWidth="1"/>
    <col min="5605" max="5605" width="13.7109375" style="1" customWidth="1"/>
    <col min="5606" max="5606" width="6" style="1" customWidth="1"/>
    <col min="5607" max="5607" width="3.7109375" style="1" customWidth="1"/>
    <col min="5608" max="5608" width="38.5703125" style="1" customWidth="1"/>
    <col min="5609" max="5849" width="9.140625" style="1"/>
    <col min="5850" max="5850" width="11.5703125" style="1" customWidth="1"/>
    <col min="5851" max="5851" width="12" style="1" customWidth="1"/>
    <col min="5852" max="5852" width="22.42578125" style="1" bestFit="1" customWidth="1"/>
    <col min="5853" max="5853" width="11.42578125" style="1" customWidth="1"/>
    <col min="5854" max="5854" width="46.42578125" style="1" bestFit="1" customWidth="1"/>
    <col min="5855" max="5855" width="15.7109375" style="1" customWidth="1"/>
    <col min="5856" max="5856" width="44" style="1" bestFit="1" customWidth="1"/>
    <col min="5857" max="5857" width="6.5703125" style="1" customWidth="1"/>
    <col min="5858" max="5858" width="6.85546875" style="1" customWidth="1"/>
    <col min="5859" max="5859" width="10.85546875" style="1" customWidth="1"/>
    <col min="5860" max="5860" width="38.28515625" style="1" customWidth="1"/>
    <col min="5861" max="5861" width="13.7109375" style="1" customWidth="1"/>
    <col min="5862" max="5862" width="6" style="1" customWidth="1"/>
    <col min="5863" max="5863" width="3.7109375" style="1" customWidth="1"/>
    <col min="5864" max="5864" width="38.5703125" style="1" customWidth="1"/>
    <col min="5865" max="6105" width="9.140625" style="1"/>
    <col min="6106" max="6106" width="11.5703125" style="1" customWidth="1"/>
    <col min="6107" max="6107" width="12" style="1" customWidth="1"/>
    <col min="6108" max="6108" width="22.42578125" style="1" bestFit="1" customWidth="1"/>
    <col min="6109" max="6109" width="11.42578125" style="1" customWidth="1"/>
    <col min="6110" max="6110" width="46.42578125" style="1" bestFit="1" customWidth="1"/>
    <col min="6111" max="6111" width="15.7109375" style="1" customWidth="1"/>
    <col min="6112" max="6112" width="44" style="1" bestFit="1" customWidth="1"/>
    <col min="6113" max="6113" width="6.5703125" style="1" customWidth="1"/>
    <col min="6114" max="6114" width="6.85546875" style="1" customWidth="1"/>
    <col min="6115" max="6115" width="10.85546875" style="1" customWidth="1"/>
    <col min="6116" max="6116" width="38.28515625" style="1" customWidth="1"/>
    <col min="6117" max="6117" width="13.7109375" style="1" customWidth="1"/>
    <col min="6118" max="6118" width="6" style="1" customWidth="1"/>
    <col min="6119" max="6119" width="3.7109375" style="1" customWidth="1"/>
    <col min="6120" max="6120" width="38.5703125" style="1" customWidth="1"/>
    <col min="6121" max="6361" width="9.140625" style="1"/>
    <col min="6362" max="6362" width="11.5703125" style="1" customWidth="1"/>
    <col min="6363" max="6363" width="12" style="1" customWidth="1"/>
    <col min="6364" max="6364" width="22.42578125" style="1" bestFit="1" customWidth="1"/>
    <col min="6365" max="6365" width="11.42578125" style="1" customWidth="1"/>
    <col min="6366" max="6366" width="46.42578125" style="1" bestFit="1" customWidth="1"/>
    <col min="6367" max="6367" width="15.7109375" style="1" customWidth="1"/>
    <col min="6368" max="6368" width="44" style="1" bestFit="1" customWidth="1"/>
    <col min="6369" max="6369" width="6.5703125" style="1" customWidth="1"/>
    <col min="6370" max="6370" width="6.85546875" style="1" customWidth="1"/>
    <col min="6371" max="6371" width="10.85546875" style="1" customWidth="1"/>
    <col min="6372" max="6372" width="38.28515625" style="1" customWidth="1"/>
    <col min="6373" max="6373" width="13.7109375" style="1" customWidth="1"/>
    <col min="6374" max="6374" width="6" style="1" customWidth="1"/>
    <col min="6375" max="6375" width="3.7109375" style="1" customWidth="1"/>
    <col min="6376" max="6376" width="38.5703125" style="1" customWidth="1"/>
    <col min="6377" max="6617" width="9.140625" style="1"/>
    <col min="6618" max="6618" width="11.5703125" style="1" customWidth="1"/>
    <col min="6619" max="6619" width="12" style="1" customWidth="1"/>
    <col min="6620" max="6620" width="22.42578125" style="1" bestFit="1" customWidth="1"/>
    <col min="6621" max="6621" width="11.42578125" style="1" customWidth="1"/>
    <col min="6622" max="6622" width="46.42578125" style="1" bestFit="1" customWidth="1"/>
    <col min="6623" max="6623" width="15.7109375" style="1" customWidth="1"/>
    <col min="6624" max="6624" width="44" style="1" bestFit="1" customWidth="1"/>
    <col min="6625" max="6625" width="6.5703125" style="1" customWidth="1"/>
    <col min="6626" max="6626" width="6.85546875" style="1" customWidth="1"/>
    <col min="6627" max="6627" width="10.85546875" style="1" customWidth="1"/>
    <col min="6628" max="6628" width="38.28515625" style="1" customWidth="1"/>
    <col min="6629" max="6629" width="13.7109375" style="1" customWidth="1"/>
    <col min="6630" max="6630" width="6" style="1" customWidth="1"/>
    <col min="6631" max="6631" width="3.7109375" style="1" customWidth="1"/>
    <col min="6632" max="6632" width="38.5703125" style="1" customWidth="1"/>
    <col min="6633" max="6873" width="9.140625" style="1"/>
    <col min="6874" max="6874" width="11.5703125" style="1" customWidth="1"/>
    <col min="6875" max="6875" width="12" style="1" customWidth="1"/>
    <col min="6876" max="6876" width="22.42578125" style="1" bestFit="1" customWidth="1"/>
    <col min="6877" max="6877" width="11.42578125" style="1" customWidth="1"/>
    <col min="6878" max="6878" width="46.42578125" style="1" bestFit="1" customWidth="1"/>
    <col min="6879" max="6879" width="15.7109375" style="1" customWidth="1"/>
    <col min="6880" max="6880" width="44" style="1" bestFit="1" customWidth="1"/>
    <col min="6881" max="6881" width="6.5703125" style="1" customWidth="1"/>
    <col min="6882" max="6882" width="6.85546875" style="1" customWidth="1"/>
    <col min="6883" max="6883" width="10.85546875" style="1" customWidth="1"/>
    <col min="6884" max="6884" width="38.28515625" style="1" customWidth="1"/>
    <col min="6885" max="6885" width="13.7109375" style="1" customWidth="1"/>
    <col min="6886" max="6886" width="6" style="1" customWidth="1"/>
    <col min="6887" max="6887" width="3.7109375" style="1" customWidth="1"/>
    <col min="6888" max="6888" width="38.5703125" style="1" customWidth="1"/>
    <col min="6889" max="7129" width="9.140625" style="1"/>
    <col min="7130" max="7130" width="11.5703125" style="1" customWidth="1"/>
    <col min="7131" max="7131" width="12" style="1" customWidth="1"/>
    <col min="7132" max="7132" width="22.42578125" style="1" bestFit="1" customWidth="1"/>
    <col min="7133" max="7133" width="11.42578125" style="1" customWidth="1"/>
    <col min="7134" max="7134" width="46.42578125" style="1" bestFit="1" customWidth="1"/>
    <col min="7135" max="7135" width="15.7109375" style="1" customWidth="1"/>
    <col min="7136" max="7136" width="44" style="1" bestFit="1" customWidth="1"/>
    <col min="7137" max="7137" width="6.5703125" style="1" customWidth="1"/>
    <col min="7138" max="7138" width="6.85546875" style="1" customWidth="1"/>
    <col min="7139" max="7139" width="10.85546875" style="1" customWidth="1"/>
    <col min="7140" max="7140" width="38.28515625" style="1" customWidth="1"/>
    <col min="7141" max="7141" width="13.7109375" style="1" customWidth="1"/>
    <col min="7142" max="7142" width="6" style="1" customWidth="1"/>
    <col min="7143" max="7143" width="3.7109375" style="1" customWidth="1"/>
    <col min="7144" max="7144" width="38.5703125" style="1" customWidth="1"/>
    <col min="7145" max="7385" width="9.140625" style="1"/>
    <col min="7386" max="7386" width="11.5703125" style="1" customWidth="1"/>
    <col min="7387" max="7387" width="12" style="1" customWidth="1"/>
    <col min="7388" max="7388" width="22.42578125" style="1" bestFit="1" customWidth="1"/>
    <col min="7389" max="7389" width="11.42578125" style="1" customWidth="1"/>
    <col min="7390" max="7390" width="46.42578125" style="1" bestFit="1" customWidth="1"/>
    <col min="7391" max="7391" width="15.7109375" style="1" customWidth="1"/>
    <col min="7392" max="7392" width="44" style="1" bestFit="1" customWidth="1"/>
    <col min="7393" max="7393" width="6.5703125" style="1" customWidth="1"/>
    <col min="7394" max="7394" width="6.85546875" style="1" customWidth="1"/>
    <col min="7395" max="7395" width="10.85546875" style="1" customWidth="1"/>
    <col min="7396" max="7396" width="38.28515625" style="1" customWidth="1"/>
    <col min="7397" max="7397" width="13.7109375" style="1" customWidth="1"/>
    <col min="7398" max="7398" width="6" style="1" customWidth="1"/>
    <col min="7399" max="7399" width="3.7109375" style="1" customWidth="1"/>
    <col min="7400" max="7400" width="38.5703125" style="1" customWidth="1"/>
    <col min="7401" max="7641" width="9.140625" style="1"/>
    <col min="7642" max="7642" width="11.5703125" style="1" customWidth="1"/>
    <col min="7643" max="7643" width="12" style="1" customWidth="1"/>
    <col min="7644" max="7644" width="22.42578125" style="1" bestFit="1" customWidth="1"/>
    <col min="7645" max="7645" width="11.42578125" style="1" customWidth="1"/>
    <col min="7646" max="7646" width="46.42578125" style="1" bestFit="1" customWidth="1"/>
    <col min="7647" max="7647" width="15.7109375" style="1" customWidth="1"/>
    <col min="7648" max="7648" width="44" style="1" bestFit="1" customWidth="1"/>
    <col min="7649" max="7649" width="6.5703125" style="1" customWidth="1"/>
    <col min="7650" max="7650" width="6.85546875" style="1" customWidth="1"/>
    <col min="7651" max="7651" width="10.85546875" style="1" customWidth="1"/>
    <col min="7652" max="7652" width="38.28515625" style="1" customWidth="1"/>
    <col min="7653" max="7653" width="13.7109375" style="1" customWidth="1"/>
    <col min="7654" max="7654" width="6" style="1" customWidth="1"/>
    <col min="7655" max="7655" width="3.7109375" style="1" customWidth="1"/>
    <col min="7656" max="7656" width="38.5703125" style="1" customWidth="1"/>
    <col min="7657" max="7897" width="9.140625" style="1"/>
    <col min="7898" max="7898" width="11.5703125" style="1" customWidth="1"/>
    <col min="7899" max="7899" width="12" style="1" customWidth="1"/>
    <col min="7900" max="7900" width="22.42578125" style="1" bestFit="1" customWidth="1"/>
    <col min="7901" max="7901" width="11.42578125" style="1" customWidth="1"/>
    <col min="7902" max="7902" width="46.42578125" style="1" bestFit="1" customWidth="1"/>
    <col min="7903" max="7903" width="15.7109375" style="1" customWidth="1"/>
    <col min="7904" max="7904" width="44" style="1" bestFit="1" customWidth="1"/>
    <col min="7905" max="7905" width="6.5703125" style="1" customWidth="1"/>
    <col min="7906" max="7906" width="6.85546875" style="1" customWidth="1"/>
    <col min="7907" max="7907" width="10.85546875" style="1" customWidth="1"/>
    <col min="7908" max="7908" width="38.28515625" style="1" customWidth="1"/>
    <col min="7909" max="7909" width="13.7109375" style="1" customWidth="1"/>
    <col min="7910" max="7910" width="6" style="1" customWidth="1"/>
    <col min="7911" max="7911" width="3.7109375" style="1" customWidth="1"/>
    <col min="7912" max="7912" width="38.5703125" style="1" customWidth="1"/>
    <col min="7913" max="8153" width="9.140625" style="1"/>
    <col min="8154" max="8154" width="11.5703125" style="1" customWidth="1"/>
    <col min="8155" max="8155" width="12" style="1" customWidth="1"/>
    <col min="8156" max="8156" width="22.42578125" style="1" bestFit="1" customWidth="1"/>
    <col min="8157" max="8157" width="11.42578125" style="1" customWidth="1"/>
    <col min="8158" max="8158" width="46.42578125" style="1" bestFit="1" customWidth="1"/>
    <col min="8159" max="8159" width="15.7109375" style="1" customWidth="1"/>
    <col min="8160" max="8160" width="44" style="1" bestFit="1" customWidth="1"/>
    <col min="8161" max="8161" width="6.5703125" style="1" customWidth="1"/>
    <col min="8162" max="8162" width="6.85546875" style="1" customWidth="1"/>
    <col min="8163" max="8163" width="10.85546875" style="1" customWidth="1"/>
    <col min="8164" max="8164" width="38.28515625" style="1" customWidth="1"/>
    <col min="8165" max="8165" width="13.7109375" style="1" customWidth="1"/>
    <col min="8166" max="8166" width="6" style="1" customWidth="1"/>
    <col min="8167" max="8167" width="3.7109375" style="1" customWidth="1"/>
    <col min="8168" max="8168" width="38.5703125" style="1" customWidth="1"/>
    <col min="8169" max="8409" width="9.140625" style="1"/>
    <col min="8410" max="8410" width="11.5703125" style="1" customWidth="1"/>
    <col min="8411" max="8411" width="12" style="1" customWidth="1"/>
    <col min="8412" max="8412" width="22.42578125" style="1" bestFit="1" customWidth="1"/>
    <col min="8413" max="8413" width="11.42578125" style="1" customWidth="1"/>
    <col min="8414" max="8414" width="46.42578125" style="1" bestFit="1" customWidth="1"/>
    <col min="8415" max="8415" width="15.7109375" style="1" customWidth="1"/>
    <col min="8416" max="8416" width="44" style="1" bestFit="1" customWidth="1"/>
    <col min="8417" max="8417" width="6.5703125" style="1" customWidth="1"/>
    <col min="8418" max="8418" width="6.85546875" style="1" customWidth="1"/>
    <col min="8419" max="8419" width="10.85546875" style="1" customWidth="1"/>
    <col min="8420" max="8420" width="38.28515625" style="1" customWidth="1"/>
    <col min="8421" max="8421" width="13.7109375" style="1" customWidth="1"/>
    <col min="8422" max="8422" width="6" style="1" customWidth="1"/>
    <col min="8423" max="8423" width="3.7109375" style="1" customWidth="1"/>
    <col min="8424" max="8424" width="38.5703125" style="1" customWidth="1"/>
    <col min="8425" max="8665" width="9.140625" style="1"/>
    <col min="8666" max="8666" width="11.5703125" style="1" customWidth="1"/>
    <col min="8667" max="8667" width="12" style="1" customWidth="1"/>
    <col min="8668" max="8668" width="22.42578125" style="1" bestFit="1" customWidth="1"/>
    <col min="8669" max="8669" width="11.42578125" style="1" customWidth="1"/>
    <col min="8670" max="8670" width="46.42578125" style="1" bestFit="1" customWidth="1"/>
    <col min="8671" max="8671" width="15.7109375" style="1" customWidth="1"/>
    <col min="8672" max="8672" width="44" style="1" bestFit="1" customWidth="1"/>
    <col min="8673" max="8673" width="6.5703125" style="1" customWidth="1"/>
    <col min="8674" max="8674" width="6.85546875" style="1" customWidth="1"/>
    <col min="8675" max="8675" width="10.85546875" style="1" customWidth="1"/>
    <col min="8676" max="8676" width="38.28515625" style="1" customWidth="1"/>
    <col min="8677" max="8677" width="13.7109375" style="1" customWidth="1"/>
    <col min="8678" max="8678" width="6" style="1" customWidth="1"/>
    <col min="8679" max="8679" width="3.7109375" style="1" customWidth="1"/>
    <col min="8680" max="8680" width="38.5703125" style="1" customWidth="1"/>
    <col min="8681" max="8921" width="9.140625" style="1"/>
    <col min="8922" max="8922" width="11.5703125" style="1" customWidth="1"/>
    <col min="8923" max="8923" width="12" style="1" customWidth="1"/>
    <col min="8924" max="8924" width="22.42578125" style="1" bestFit="1" customWidth="1"/>
    <col min="8925" max="8925" width="11.42578125" style="1" customWidth="1"/>
    <col min="8926" max="8926" width="46.42578125" style="1" bestFit="1" customWidth="1"/>
    <col min="8927" max="8927" width="15.7109375" style="1" customWidth="1"/>
    <col min="8928" max="8928" width="44" style="1" bestFit="1" customWidth="1"/>
    <col min="8929" max="8929" width="6.5703125" style="1" customWidth="1"/>
    <col min="8930" max="8930" width="6.85546875" style="1" customWidth="1"/>
    <col min="8931" max="8931" width="10.85546875" style="1" customWidth="1"/>
    <col min="8932" max="8932" width="38.28515625" style="1" customWidth="1"/>
    <col min="8933" max="8933" width="13.7109375" style="1" customWidth="1"/>
    <col min="8934" max="8934" width="6" style="1" customWidth="1"/>
    <col min="8935" max="8935" width="3.7109375" style="1" customWidth="1"/>
    <col min="8936" max="8936" width="38.5703125" style="1" customWidth="1"/>
    <col min="8937" max="9177" width="9.140625" style="1"/>
    <col min="9178" max="9178" width="11.5703125" style="1" customWidth="1"/>
    <col min="9179" max="9179" width="12" style="1" customWidth="1"/>
    <col min="9180" max="9180" width="22.42578125" style="1" bestFit="1" customWidth="1"/>
    <col min="9181" max="9181" width="11.42578125" style="1" customWidth="1"/>
    <col min="9182" max="9182" width="46.42578125" style="1" bestFit="1" customWidth="1"/>
    <col min="9183" max="9183" width="15.7109375" style="1" customWidth="1"/>
    <col min="9184" max="9184" width="44" style="1" bestFit="1" customWidth="1"/>
    <col min="9185" max="9185" width="6.5703125" style="1" customWidth="1"/>
    <col min="9186" max="9186" width="6.85546875" style="1" customWidth="1"/>
    <col min="9187" max="9187" width="10.85546875" style="1" customWidth="1"/>
    <col min="9188" max="9188" width="38.28515625" style="1" customWidth="1"/>
    <col min="9189" max="9189" width="13.7109375" style="1" customWidth="1"/>
    <col min="9190" max="9190" width="6" style="1" customWidth="1"/>
    <col min="9191" max="9191" width="3.7109375" style="1" customWidth="1"/>
    <col min="9192" max="9192" width="38.5703125" style="1" customWidth="1"/>
    <col min="9193" max="9433" width="9.140625" style="1"/>
    <col min="9434" max="9434" width="11.5703125" style="1" customWidth="1"/>
    <col min="9435" max="9435" width="12" style="1" customWidth="1"/>
    <col min="9436" max="9436" width="22.42578125" style="1" bestFit="1" customWidth="1"/>
    <col min="9437" max="9437" width="11.42578125" style="1" customWidth="1"/>
    <col min="9438" max="9438" width="46.42578125" style="1" bestFit="1" customWidth="1"/>
    <col min="9439" max="9439" width="15.7109375" style="1" customWidth="1"/>
    <col min="9440" max="9440" width="44" style="1" bestFit="1" customWidth="1"/>
    <col min="9441" max="9441" width="6.5703125" style="1" customWidth="1"/>
    <col min="9442" max="9442" width="6.85546875" style="1" customWidth="1"/>
    <col min="9443" max="9443" width="10.85546875" style="1" customWidth="1"/>
    <col min="9444" max="9444" width="38.28515625" style="1" customWidth="1"/>
    <col min="9445" max="9445" width="13.7109375" style="1" customWidth="1"/>
    <col min="9446" max="9446" width="6" style="1" customWidth="1"/>
    <col min="9447" max="9447" width="3.7109375" style="1" customWidth="1"/>
    <col min="9448" max="9448" width="38.5703125" style="1" customWidth="1"/>
    <col min="9449" max="9689" width="9.140625" style="1"/>
    <col min="9690" max="9690" width="11.5703125" style="1" customWidth="1"/>
    <col min="9691" max="9691" width="12" style="1" customWidth="1"/>
    <col min="9692" max="9692" width="22.42578125" style="1" bestFit="1" customWidth="1"/>
    <col min="9693" max="9693" width="11.42578125" style="1" customWidth="1"/>
    <col min="9694" max="9694" width="46.42578125" style="1" bestFit="1" customWidth="1"/>
    <col min="9695" max="9695" width="15.7109375" style="1" customWidth="1"/>
    <col min="9696" max="9696" width="44" style="1" bestFit="1" customWidth="1"/>
    <col min="9697" max="9697" width="6.5703125" style="1" customWidth="1"/>
    <col min="9698" max="9698" width="6.85546875" style="1" customWidth="1"/>
    <col min="9699" max="9699" width="10.85546875" style="1" customWidth="1"/>
    <col min="9700" max="9700" width="38.28515625" style="1" customWidth="1"/>
    <col min="9701" max="9701" width="13.7109375" style="1" customWidth="1"/>
    <col min="9702" max="9702" width="6" style="1" customWidth="1"/>
    <col min="9703" max="9703" width="3.7109375" style="1" customWidth="1"/>
    <col min="9704" max="9704" width="38.5703125" style="1" customWidth="1"/>
    <col min="9705" max="9945" width="9.140625" style="1"/>
    <col min="9946" max="9946" width="11.5703125" style="1" customWidth="1"/>
    <col min="9947" max="9947" width="12" style="1" customWidth="1"/>
    <col min="9948" max="9948" width="22.42578125" style="1" bestFit="1" customWidth="1"/>
    <col min="9949" max="9949" width="11.42578125" style="1" customWidth="1"/>
    <col min="9950" max="9950" width="46.42578125" style="1" bestFit="1" customWidth="1"/>
    <col min="9951" max="9951" width="15.7109375" style="1" customWidth="1"/>
    <col min="9952" max="9952" width="44" style="1" bestFit="1" customWidth="1"/>
    <col min="9953" max="9953" width="6.5703125" style="1" customWidth="1"/>
    <col min="9954" max="9954" width="6.85546875" style="1" customWidth="1"/>
    <col min="9955" max="9955" width="10.85546875" style="1" customWidth="1"/>
    <col min="9956" max="9956" width="38.28515625" style="1" customWidth="1"/>
    <col min="9957" max="9957" width="13.7109375" style="1" customWidth="1"/>
    <col min="9958" max="9958" width="6" style="1" customWidth="1"/>
    <col min="9959" max="9959" width="3.7109375" style="1" customWidth="1"/>
    <col min="9960" max="9960" width="38.5703125" style="1" customWidth="1"/>
    <col min="9961" max="10201" width="9.140625" style="1"/>
    <col min="10202" max="10202" width="11.5703125" style="1" customWidth="1"/>
    <col min="10203" max="10203" width="12" style="1" customWidth="1"/>
    <col min="10204" max="10204" width="22.42578125" style="1" bestFit="1" customWidth="1"/>
    <col min="10205" max="10205" width="11.42578125" style="1" customWidth="1"/>
    <col min="10206" max="10206" width="46.42578125" style="1" bestFit="1" customWidth="1"/>
    <col min="10207" max="10207" width="15.7109375" style="1" customWidth="1"/>
    <col min="10208" max="10208" width="44" style="1" bestFit="1" customWidth="1"/>
    <col min="10209" max="10209" width="6.5703125" style="1" customWidth="1"/>
    <col min="10210" max="10210" width="6.85546875" style="1" customWidth="1"/>
    <col min="10211" max="10211" width="10.85546875" style="1" customWidth="1"/>
    <col min="10212" max="10212" width="38.28515625" style="1" customWidth="1"/>
    <col min="10213" max="10213" width="13.7109375" style="1" customWidth="1"/>
    <col min="10214" max="10214" width="6" style="1" customWidth="1"/>
    <col min="10215" max="10215" width="3.7109375" style="1" customWidth="1"/>
    <col min="10216" max="10216" width="38.5703125" style="1" customWidth="1"/>
    <col min="10217" max="10457" width="9.140625" style="1"/>
    <col min="10458" max="10458" width="11.5703125" style="1" customWidth="1"/>
    <col min="10459" max="10459" width="12" style="1" customWidth="1"/>
    <col min="10460" max="10460" width="22.42578125" style="1" bestFit="1" customWidth="1"/>
    <col min="10461" max="10461" width="11.42578125" style="1" customWidth="1"/>
    <col min="10462" max="10462" width="46.42578125" style="1" bestFit="1" customWidth="1"/>
    <col min="10463" max="10463" width="15.7109375" style="1" customWidth="1"/>
    <col min="10464" max="10464" width="44" style="1" bestFit="1" customWidth="1"/>
    <col min="10465" max="10465" width="6.5703125" style="1" customWidth="1"/>
    <col min="10466" max="10466" width="6.85546875" style="1" customWidth="1"/>
    <col min="10467" max="10467" width="10.85546875" style="1" customWidth="1"/>
    <col min="10468" max="10468" width="38.28515625" style="1" customWidth="1"/>
    <col min="10469" max="10469" width="13.7109375" style="1" customWidth="1"/>
    <col min="10470" max="10470" width="6" style="1" customWidth="1"/>
    <col min="10471" max="10471" width="3.7109375" style="1" customWidth="1"/>
    <col min="10472" max="10472" width="38.5703125" style="1" customWidth="1"/>
    <col min="10473" max="10713" width="9.140625" style="1"/>
    <col min="10714" max="10714" width="11.5703125" style="1" customWidth="1"/>
    <col min="10715" max="10715" width="12" style="1" customWidth="1"/>
    <col min="10716" max="10716" width="22.42578125" style="1" bestFit="1" customWidth="1"/>
    <col min="10717" max="10717" width="11.42578125" style="1" customWidth="1"/>
    <col min="10718" max="10718" width="46.42578125" style="1" bestFit="1" customWidth="1"/>
    <col min="10719" max="10719" width="15.7109375" style="1" customWidth="1"/>
    <col min="10720" max="10720" width="44" style="1" bestFit="1" customWidth="1"/>
    <col min="10721" max="10721" width="6.5703125" style="1" customWidth="1"/>
    <col min="10722" max="10722" width="6.85546875" style="1" customWidth="1"/>
    <col min="10723" max="10723" width="10.85546875" style="1" customWidth="1"/>
    <col min="10724" max="10724" width="38.28515625" style="1" customWidth="1"/>
    <col min="10725" max="10725" width="13.7109375" style="1" customWidth="1"/>
    <col min="10726" max="10726" width="6" style="1" customWidth="1"/>
    <col min="10727" max="10727" width="3.7109375" style="1" customWidth="1"/>
    <col min="10728" max="10728" width="38.5703125" style="1" customWidth="1"/>
    <col min="10729" max="10969" width="9.140625" style="1"/>
    <col min="10970" max="10970" width="11.5703125" style="1" customWidth="1"/>
    <col min="10971" max="10971" width="12" style="1" customWidth="1"/>
    <col min="10972" max="10972" width="22.42578125" style="1" bestFit="1" customWidth="1"/>
    <col min="10973" max="10973" width="11.42578125" style="1" customWidth="1"/>
    <col min="10974" max="10974" width="46.42578125" style="1" bestFit="1" customWidth="1"/>
    <col min="10975" max="10975" width="15.7109375" style="1" customWidth="1"/>
    <col min="10976" max="10976" width="44" style="1" bestFit="1" customWidth="1"/>
    <col min="10977" max="10977" width="6.5703125" style="1" customWidth="1"/>
    <col min="10978" max="10978" width="6.85546875" style="1" customWidth="1"/>
    <col min="10979" max="10979" width="10.85546875" style="1" customWidth="1"/>
    <col min="10980" max="10980" width="38.28515625" style="1" customWidth="1"/>
    <col min="10981" max="10981" width="13.7109375" style="1" customWidth="1"/>
    <col min="10982" max="10982" width="6" style="1" customWidth="1"/>
    <col min="10983" max="10983" width="3.7109375" style="1" customWidth="1"/>
    <col min="10984" max="10984" width="38.5703125" style="1" customWidth="1"/>
    <col min="10985" max="11225" width="9.140625" style="1"/>
    <col min="11226" max="11226" width="11.5703125" style="1" customWidth="1"/>
    <col min="11227" max="11227" width="12" style="1" customWidth="1"/>
    <col min="11228" max="11228" width="22.42578125" style="1" bestFit="1" customWidth="1"/>
    <col min="11229" max="11229" width="11.42578125" style="1" customWidth="1"/>
    <col min="11230" max="11230" width="46.42578125" style="1" bestFit="1" customWidth="1"/>
    <col min="11231" max="11231" width="15.7109375" style="1" customWidth="1"/>
    <col min="11232" max="11232" width="44" style="1" bestFit="1" customWidth="1"/>
    <col min="11233" max="11233" width="6.5703125" style="1" customWidth="1"/>
    <col min="11234" max="11234" width="6.85546875" style="1" customWidth="1"/>
    <col min="11235" max="11235" width="10.85546875" style="1" customWidth="1"/>
    <col min="11236" max="11236" width="38.28515625" style="1" customWidth="1"/>
    <col min="11237" max="11237" width="13.7109375" style="1" customWidth="1"/>
    <col min="11238" max="11238" width="6" style="1" customWidth="1"/>
    <col min="11239" max="11239" width="3.7109375" style="1" customWidth="1"/>
    <col min="11240" max="11240" width="38.5703125" style="1" customWidth="1"/>
    <col min="11241" max="11481" width="9.140625" style="1"/>
    <col min="11482" max="11482" width="11.5703125" style="1" customWidth="1"/>
    <col min="11483" max="11483" width="12" style="1" customWidth="1"/>
    <col min="11484" max="11484" width="22.42578125" style="1" bestFit="1" customWidth="1"/>
    <col min="11485" max="11485" width="11.42578125" style="1" customWidth="1"/>
    <col min="11486" max="11486" width="46.42578125" style="1" bestFit="1" customWidth="1"/>
    <col min="11487" max="11487" width="15.7109375" style="1" customWidth="1"/>
    <col min="11488" max="11488" width="44" style="1" bestFit="1" customWidth="1"/>
    <col min="11489" max="11489" width="6.5703125" style="1" customWidth="1"/>
    <col min="11490" max="11490" width="6.85546875" style="1" customWidth="1"/>
    <col min="11491" max="11491" width="10.85546875" style="1" customWidth="1"/>
    <col min="11492" max="11492" width="38.28515625" style="1" customWidth="1"/>
    <col min="11493" max="11493" width="13.7109375" style="1" customWidth="1"/>
    <col min="11494" max="11494" width="6" style="1" customWidth="1"/>
    <col min="11495" max="11495" width="3.7109375" style="1" customWidth="1"/>
    <col min="11496" max="11496" width="38.5703125" style="1" customWidth="1"/>
    <col min="11497" max="11737" width="9.140625" style="1"/>
    <col min="11738" max="11738" width="11.5703125" style="1" customWidth="1"/>
    <col min="11739" max="11739" width="12" style="1" customWidth="1"/>
    <col min="11740" max="11740" width="22.42578125" style="1" bestFit="1" customWidth="1"/>
    <col min="11741" max="11741" width="11.42578125" style="1" customWidth="1"/>
    <col min="11742" max="11742" width="46.42578125" style="1" bestFit="1" customWidth="1"/>
    <col min="11743" max="11743" width="15.7109375" style="1" customWidth="1"/>
    <col min="11744" max="11744" width="44" style="1" bestFit="1" customWidth="1"/>
    <col min="11745" max="11745" width="6.5703125" style="1" customWidth="1"/>
    <col min="11746" max="11746" width="6.85546875" style="1" customWidth="1"/>
    <col min="11747" max="11747" width="10.85546875" style="1" customWidth="1"/>
    <col min="11748" max="11748" width="38.28515625" style="1" customWidth="1"/>
    <col min="11749" max="11749" width="13.7109375" style="1" customWidth="1"/>
    <col min="11750" max="11750" width="6" style="1" customWidth="1"/>
    <col min="11751" max="11751" width="3.7109375" style="1" customWidth="1"/>
    <col min="11752" max="11752" width="38.5703125" style="1" customWidth="1"/>
    <col min="11753" max="11993" width="9.140625" style="1"/>
    <col min="11994" max="11994" width="11.5703125" style="1" customWidth="1"/>
    <col min="11995" max="11995" width="12" style="1" customWidth="1"/>
    <col min="11996" max="11996" width="22.42578125" style="1" bestFit="1" customWidth="1"/>
    <col min="11997" max="11997" width="11.42578125" style="1" customWidth="1"/>
    <col min="11998" max="11998" width="46.42578125" style="1" bestFit="1" customWidth="1"/>
    <col min="11999" max="11999" width="15.7109375" style="1" customWidth="1"/>
    <col min="12000" max="12000" width="44" style="1" bestFit="1" customWidth="1"/>
    <col min="12001" max="12001" width="6.5703125" style="1" customWidth="1"/>
    <col min="12002" max="12002" width="6.85546875" style="1" customWidth="1"/>
    <col min="12003" max="12003" width="10.85546875" style="1" customWidth="1"/>
    <col min="12004" max="12004" width="38.28515625" style="1" customWidth="1"/>
    <col min="12005" max="12005" width="13.7109375" style="1" customWidth="1"/>
    <col min="12006" max="12006" width="6" style="1" customWidth="1"/>
    <col min="12007" max="12007" width="3.7109375" style="1" customWidth="1"/>
    <col min="12008" max="12008" width="38.5703125" style="1" customWidth="1"/>
    <col min="12009" max="12249" width="9.140625" style="1"/>
    <col min="12250" max="12250" width="11.5703125" style="1" customWidth="1"/>
    <col min="12251" max="12251" width="12" style="1" customWidth="1"/>
    <col min="12252" max="12252" width="22.42578125" style="1" bestFit="1" customWidth="1"/>
    <col min="12253" max="12253" width="11.42578125" style="1" customWidth="1"/>
    <col min="12254" max="12254" width="46.42578125" style="1" bestFit="1" customWidth="1"/>
    <col min="12255" max="12255" width="15.7109375" style="1" customWidth="1"/>
    <col min="12256" max="12256" width="44" style="1" bestFit="1" customWidth="1"/>
    <col min="12257" max="12257" width="6.5703125" style="1" customWidth="1"/>
    <col min="12258" max="12258" width="6.85546875" style="1" customWidth="1"/>
    <col min="12259" max="12259" width="10.85546875" style="1" customWidth="1"/>
    <col min="12260" max="12260" width="38.28515625" style="1" customWidth="1"/>
    <col min="12261" max="12261" width="13.7109375" style="1" customWidth="1"/>
    <col min="12262" max="12262" width="6" style="1" customWidth="1"/>
    <col min="12263" max="12263" width="3.7109375" style="1" customWidth="1"/>
    <col min="12264" max="12264" width="38.5703125" style="1" customWidth="1"/>
    <col min="12265" max="12505" width="9.140625" style="1"/>
    <col min="12506" max="12506" width="11.5703125" style="1" customWidth="1"/>
    <col min="12507" max="12507" width="12" style="1" customWidth="1"/>
    <col min="12508" max="12508" width="22.42578125" style="1" bestFit="1" customWidth="1"/>
    <col min="12509" max="12509" width="11.42578125" style="1" customWidth="1"/>
    <col min="12510" max="12510" width="46.42578125" style="1" bestFit="1" customWidth="1"/>
    <col min="12511" max="12511" width="15.7109375" style="1" customWidth="1"/>
    <col min="12512" max="12512" width="44" style="1" bestFit="1" customWidth="1"/>
    <col min="12513" max="12513" width="6.5703125" style="1" customWidth="1"/>
    <col min="12514" max="12514" width="6.85546875" style="1" customWidth="1"/>
    <col min="12515" max="12515" width="10.85546875" style="1" customWidth="1"/>
    <col min="12516" max="12516" width="38.28515625" style="1" customWidth="1"/>
    <col min="12517" max="12517" width="13.7109375" style="1" customWidth="1"/>
    <col min="12518" max="12518" width="6" style="1" customWidth="1"/>
    <col min="12519" max="12519" width="3.7109375" style="1" customWidth="1"/>
    <col min="12520" max="12520" width="38.5703125" style="1" customWidth="1"/>
    <col min="12521" max="12761" width="9.140625" style="1"/>
    <col min="12762" max="12762" width="11.5703125" style="1" customWidth="1"/>
    <col min="12763" max="12763" width="12" style="1" customWidth="1"/>
    <col min="12764" max="12764" width="22.42578125" style="1" bestFit="1" customWidth="1"/>
    <col min="12765" max="12765" width="11.42578125" style="1" customWidth="1"/>
    <col min="12766" max="12766" width="46.42578125" style="1" bestFit="1" customWidth="1"/>
    <col min="12767" max="12767" width="15.7109375" style="1" customWidth="1"/>
    <col min="12768" max="12768" width="44" style="1" bestFit="1" customWidth="1"/>
    <col min="12769" max="12769" width="6.5703125" style="1" customWidth="1"/>
    <col min="12770" max="12770" width="6.85546875" style="1" customWidth="1"/>
    <col min="12771" max="12771" width="10.85546875" style="1" customWidth="1"/>
    <col min="12772" max="12772" width="38.28515625" style="1" customWidth="1"/>
    <col min="12773" max="12773" width="13.7109375" style="1" customWidth="1"/>
    <col min="12774" max="12774" width="6" style="1" customWidth="1"/>
    <col min="12775" max="12775" width="3.7109375" style="1" customWidth="1"/>
    <col min="12776" max="12776" width="38.5703125" style="1" customWidth="1"/>
    <col min="12777" max="13017" width="9.140625" style="1"/>
    <col min="13018" max="13018" width="11.5703125" style="1" customWidth="1"/>
    <col min="13019" max="13019" width="12" style="1" customWidth="1"/>
    <col min="13020" max="13020" width="22.42578125" style="1" bestFit="1" customWidth="1"/>
    <col min="13021" max="13021" width="11.42578125" style="1" customWidth="1"/>
    <col min="13022" max="13022" width="46.42578125" style="1" bestFit="1" customWidth="1"/>
    <col min="13023" max="13023" width="15.7109375" style="1" customWidth="1"/>
    <col min="13024" max="13024" width="44" style="1" bestFit="1" customWidth="1"/>
    <col min="13025" max="13025" width="6.5703125" style="1" customWidth="1"/>
    <col min="13026" max="13026" width="6.85546875" style="1" customWidth="1"/>
    <col min="13027" max="13027" width="10.85546875" style="1" customWidth="1"/>
    <col min="13028" max="13028" width="38.28515625" style="1" customWidth="1"/>
    <col min="13029" max="13029" width="13.7109375" style="1" customWidth="1"/>
    <col min="13030" max="13030" width="6" style="1" customWidth="1"/>
    <col min="13031" max="13031" width="3.7109375" style="1" customWidth="1"/>
    <col min="13032" max="13032" width="38.5703125" style="1" customWidth="1"/>
    <col min="13033" max="13273" width="9.140625" style="1"/>
    <col min="13274" max="13274" width="11.5703125" style="1" customWidth="1"/>
    <col min="13275" max="13275" width="12" style="1" customWidth="1"/>
    <col min="13276" max="13276" width="22.42578125" style="1" bestFit="1" customWidth="1"/>
    <col min="13277" max="13277" width="11.42578125" style="1" customWidth="1"/>
    <col min="13278" max="13278" width="46.42578125" style="1" bestFit="1" customWidth="1"/>
    <col min="13279" max="13279" width="15.7109375" style="1" customWidth="1"/>
    <col min="13280" max="13280" width="44" style="1" bestFit="1" customWidth="1"/>
    <col min="13281" max="13281" width="6.5703125" style="1" customWidth="1"/>
    <col min="13282" max="13282" width="6.85546875" style="1" customWidth="1"/>
    <col min="13283" max="13283" width="10.85546875" style="1" customWidth="1"/>
    <col min="13284" max="13284" width="38.28515625" style="1" customWidth="1"/>
    <col min="13285" max="13285" width="13.7109375" style="1" customWidth="1"/>
    <col min="13286" max="13286" width="6" style="1" customWidth="1"/>
    <col min="13287" max="13287" width="3.7109375" style="1" customWidth="1"/>
    <col min="13288" max="13288" width="38.5703125" style="1" customWidth="1"/>
    <col min="13289" max="13529" width="9.140625" style="1"/>
    <col min="13530" max="13530" width="11.5703125" style="1" customWidth="1"/>
    <col min="13531" max="13531" width="12" style="1" customWidth="1"/>
    <col min="13532" max="13532" width="22.42578125" style="1" bestFit="1" customWidth="1"/>
    <col min="13533" max="13533" width="11.42578125" style="1" customWidth="1"/>
    <col min="13534" max="13534" width="46.42578125" style="1" bestFit="1" customWidth="1"/>
    <col min="13535" max="13535" width="15.7109375" style="1" customWidth="1"/>
    <col min="13536" max="13536" width="44" style="1" bestFit="1" customWidth="1"/>
    <col min="13537" max="13537" width="6.5703125" style="1" customWidth="1"/>
    <col min="13538" max="13538" width="6.85546875" style="1" customWidth="1"/>
    <col min="13539" max="13539" width="10.85546875" style="1" customWidth="1"/>
    <col min="13540" max="13540" width="38.28515625" style="1" customWidth="1"/>
    <col min="13541" max="13541" width="13.7109375" style="1" customWidth="1"/>
    <col min="13542" max="13542" width="6" style="1" customWidth="1"/>
    <col min="13543" max="13543" width="3.7109375" style="1" customWidth="1"/>
    <col min="13544" max="13544" width="38.5703125" style="1" customWidth="1"/>
    <col min="13545" max="13785" width="9.140625" style="1"/>
    <col min="13786" max="13786" width="11.5703125" style="1" customWidth="1"/>
    <col min="13787" max="13787" width="12" style="1" customWidth="1"/>
    <col min="13788" max="13788" width="22.42578125" style="1" bestFit="1" customWidth="1"/>
    <col min="13789" max="13789" width="11.42578125" style="1" customWidth="1"/>
    <col min="13790" max="13790" width="46.42578125" style="1" bestFit="1" customWidth="1"/>
    <col min="13791" max="13791" width="15.7109375" style="1" customWidth="1"/>
    <col min="13792" max="13792" width="44" style="1" bestFit="1" customWidth="1"/>
    <col min="13793" max="13793" width="6.5703125" style="1" customWidth="1"/>
    <col min="13794" max="13794" width="6.85546875" style="1" customWidth="1"/>
    <col min="13795" max="13795" width="10.85546875" style="1" customWidth="1"/>
    <col min="13796" max="13796" width="38.28515625" style="1" customWidth="1"/>
    <col min="13797" max="13797" width="13.7109375" style="1" customWidth="1"/>
    <col min="13798" max="13798" width="6" style="1" customWidth="1"/>
    <col min="13799" max="13799" width="3.7109375" style="1" customWidth="1"/>
    <col min="13800" max="13800" width="38.5703125" style="1" customWidth="1"/>
    <col min="13801" max="14041" width="9.140625" style="1"/>
    <col min="14042" max="14042" width="11.5703125" style="1" customWidth="1"/>
    <col min="14043" max="14043" width="12" style="1" customWidth="1"/>
    <col min="14044" max="14044" width="22.42578125" style="1" bestFit="1" customWidth="1"/>
    <col min="14045" max="14045" width="11.42578125" style="1" customWidth="1"/>
    <col min="14046" max="14046" width="46.42578125" style="1" bestFit="1" customWidth="1"/>
    <col min="14047" max="14047" width="15.7109375" style="1" customWidth="1"/>
    <col min="14048" max="14048" width="44" style="1" bestFit="1" customWidth="1"/>
    <col min="14049" max="14049" width="6.5703125" style="1" customWidth="1"/>
    <col min="14050" max="14050" width="6.85546875" style="1" customWidth="1"/>
    <col min="14051" max="14051" width="10.85546875" style="1" customWidth="1"/>
    <col min="14052" max="14052" width="38.28515625" style="1" customWidth="1"/>
    <col min="14053" max="14053" width="13.7109375" style="1" customWidth="1"/>
    <col min="14054" max="14054" width="6" style="1" customWidth="1"/>
    <col min="14055" max="14055" width="3.7109375" style="1" customWidth="1"/>
    <col min="14056" max="14056" width="38.5703125" style="1" customWidth="1"/>
    <col min="14057" max="14297" width="9.140625" style="1"/>
    <col min="14298" max="14298" width="11.5703125" style="1" customWidth="1"/>
    <col min="14299" max="14299" width="12" style="1" customWidth="1"/>
    <col min="14300" max="14300" width="22.42578125" style="1" bestFit="1" customWidth="1"/>
    <col min="14301" max="14301" width="11.42578125" style="1" customWidth="1"/>
    <col min="14302" max="14302" width="46.42578125" style="1" bestFit="1" customWidth="1"/>
    <col min="14303" max="14303" width="15.7109375" style="1" customWidth="1"/>
    <col min="14304" max="14304" width="44" style="1" bestFit="1" customWidth="1"/>
    <col min="14305" max="14305" width="6.5703125" style="1" customWidth="1"/>
    <col min="14306" max="14306" width="6.85546875" style="1" customWidth="1"/>
    <col min="14307" max="14307" width="10.85546875" style="1" customWidth="1"/>
    <col min="14308" max="14308" width="38.28515625" style="1" customWidth="1"/>
    <col min="14309" max="14309" width="13.7109375" style="1" customWidth="1"/>
    <col min="14310" max="14310" width="6" style="1" customWidth="1"/>
    <col min="14311" max="14311" width="3.7109375" style="1" customWidth="1"/>
    <col min="14312" max="14312" width="38.5703125" style="1" customWidth="1"/>
    <col min="14313" max="14553" width="9.140625" style="1"/>
    <col min="14554" max="14554" width="11.5703125" style="1" customWidth="1"/>
    <col min="14555" max="14555" width="12" style="1" customWidth="1"/>
    <col min="14556" max="14556" width="22.42578125" style="1" bestFit="1" customWidth="1"/>
    <col min="14557" max="14557" width="11.42578125" style="1" customWidth="1"/>
    <col min="14558" max="14558" width="46.42578125" style="1" bestFit="1" customWidth="1"/>
    <col min="14559" max="14559" width="15.7109375" style="1" customWidth="1"/>
    <col min="14560" max="14560" width="44" style="1" bestFit="1" customWidth="1"/>
    <col min="14561" max="14561" width="6.5703125" style="1" customWidth="1"/>
    <col min="14562" max="14562" width="6.85546875" style="1" customWidth="1"/>
    <col min="14563" max="14563" width="10.85546875" style="1" customWidth="1"/>
    <col min="14564" max="14564" width="38.28515625" style="1" customWidth="1"/>
    <col min="14565" max="14565" width="13.7109375" style="1" customWidth="1"/>
    <col min="14566" max="14566" width="6" style="1" customWidth="1"/>
    <col min="14567" max="14567" width="3.7109375" style="1" customWidth="1"/>
    <col min="14568" max="14568" width="38.5703125" style="1" customWidth="1"/>
    <col min="14569" max="14809" width="9.140625" style="1"/>
    <col min="14810" max="14810" width="11.5703125" style="1" customWidth="1"/>
    <col min="14811" max="14811" width="12" style="1" customWidth="1"/>
    <col min="14812" max="14812" width="22.42578125" style="1" bestFit="1" customWidth="1"/>
    <col min="14813" max="14813" width="11.42578125" style="1" customWidth="1"/>
    <col min="14814" max="14814" width="46.42578125" style="1" bestFit="1" customWidth="1"/>
    <col min="14815" max="14815" width="15.7109375" style="1" customWidth="1"/>
    <col min="14816" max="14816" width="44" style="1" bestFit="1" customWidth="1"/>
    <col min="14817" max="14817" width="6.5703125" style="1" customWidth="1"/>
    <col min="14818" max="14818" width="6.85546875" style="1" customWidth="1"/>
    <col min="14819" max="14819" width="10.85546875" style="1" customWidth="1"/>
    <col min="14820" max="14820" width="38.28515625" style="1" customWidth="1"/>
    <col min="14821" max="14821" width="13.7109375" style="1" customWidth="1"/>
    <col min="14822" max="14822" width="6" style="1" customWidth="1"/>
    <col min="14823" max="14823" width="3.7109375" style="1" customWidth="1"/>
    <col min="14824" max="14824" width="38.5703125" style="1" customWidth="1"/>
    <col min="14825" max="15065" width="9.140625" style="1"/>
    <col min="15066" max="15066" width="11.5703125" style="1" customWidth="1"/>
    <col min="15067" max="15067" width="12" style="1" customWidth="1"/>
    <col min="15068" max="15068" width="22.42578125" style="1" bestFit="1" customWidth="1"/>
    <col min="15069" max="15069" width="11.42578125" style="1" customWidth="1"/>
    <col min="15070" max="15070" width="46.42578125" style="1" bestFit="1" customWidth="1"/>
    <col min="15071" max="15071" width="15.7109375" style="1" customWidth="1"/>
    <col min="15072" max="15072" width="44" style="1" bestFit="1" customWidth="1"/>
    <col min="15073" max="15073" width="6.5703125" style="1" customWidth="1"/>
    <col min="15074" max="15074" width="6.85546875" style="1" customWidth="1"/>
    <col min="15075" max="15075" width="10.85546875" style="1" customWidth="1"/>
    <col min="15076" max="15076" width="38.28515625" style="1" customWidth="1"/>
    <col min="15077" max="15077" width="13.7109375" style="1" customWidth="1"/>
    <col min="15078" max="15078" width="6" style="1" customWidth="1"/>
    <col min="15079" max="15079" width="3.7109375" style="1" customWidth="1"/>
    <col min="15080" max="15080" width="38.5703125" style="1" customWidth="1"/>
    <col min="15081" max="15321" width="9.140625" style="1"/>
    <col min="15322" max="15322" width="11.5703125" style="1" customWidth="1"/>
    <col min="15323" max="15323" width="12" style="1" customWidth="1"/>
    <col min="15324" max="15324" width="22.42578125" style="1" bestFit="1" customWidth="1"/>
    <col min="15325" max="15325" width="11.42578125" style="1" customWidth="1"/>
    <col min="15326" max="15326" width="46.42578125" style="1" bestFit="1" customWidth="1"/>
    <col min="15327" max="15327" width="15.7109375" style="1" customWidth="1"/>
    <col min="15328" max="15328" width="44" style="1" bestFit="1" customWidth="1"/>
    <col min="15329" max="15329" width="6.5703125" style="1" customWidth="1"/>
    <col min="15330" max="15330" width="6.85546875" style="1" customWidth="1"/>
    <col min="15331" max="15331" width="10.85546875" style="1" customWidth="1"/>
    <col min="15332" max="15332" width="38.28515625" style="1" customWidth="1"/>
    <col min="15333" max="15333" width="13.7109375" style="1" customWidth="1"/>
    <col min="15334" max="15334" width="6" style="1" customWidth="1"/>
    <col min="15335" max="15335" width="3.7109375" style="1" customWidth="1"/>
    <col min="15336" max="15336" width="38.5703125" style="1" customWidth="1"/>
    <col min="15337" max="15577" width="9.140625" style="1"/>
    <col min="15578" max="15578" width="11.5703125" style="1" customWidth="1"/>
    <col min="15579" max="15579" width="12" style="1" customWidth="1"/>
    <col min="15580" max="15580" width="22.42578125" style="1" bestFit="1" customWidth="1"/>
    <col min="15581" max="15581" width="11.42578125" style="1" customWidth="1"/>
    <col min="15582" max="15582" width="46.42578125" style="1" bestFit="1" customWidth="1"/>
    <col min="15583" max="15583" width="15.7109375" style="1" customWidth="1"/>
    <col min="15584" max="15584" width="44" style="1" bestFit="1" customWidth="1"/>
    <col min="15585" max="15585" width="6.5703125" style="1" customWidth="1"/>
    <col min="15586" max="15586" width="6.85546875" style="1" customWidth="1"/>
    <col min="15587" max="15587" width="10.85546875" style="1" customWidth="1"/>
    <col min="15588" max="15588" width="38.28515625" style="1" customWidth="1"/>
    <col min="15589" max="15589" width="13.7109375" style="1" customWidth="1"/>
    <col min="15590" max="15590" width="6" style="1" customWidth="1"/>
    <col min="15591" max="15591" width="3.7109375" style="1" customWidth="1"/>
    <col min="15592" max="15592" width="38.5703125" style="1" customWidth="1"/>
    <col min="15593" max="15833" width="9.140625" style="1"/>
    <col min="15834" max="15834" width="11.5703125" style="1" customWidth="1"/>
    <col min="15835" max="15835" width="12" style="1" customWidth="1"/>
    <col min="15836" max="15836" width="22.42578125" style="1" bestFit="1" customWidth="1"/>
    <col min="15837" max="15837" width="11.42578125" style="1" customWidth="1"/>
    <col min="15838" max="15838" width="46.42578125" style="1" bestFit="1" customWidth="1"/>
    <col min="15839" max="15839" width="15.7109375" style="1" customWidth="1"/>
    <col min="15840" max="15840" width="44" style="1" bestFit="1" customWidth="1"/>
    <col min="15841" max="15841" width="6.5703125" style="1" customWidth="1"/>
    <col min="15842" max="15842" width="6.85546875" style="1" customWidth="1"/>
    <col min="15843" max="15843" width="10.85546875" style="1" customWidth="1"/>
    <col min="15844" max="15844" width="38.28515625" style="1" customWidth="1"/>
    <col min="15845" max="15845" width="13.7109375" style="1" customWidth="1"/>
    <col min="15846" max="15846" width="6" style="1" customWidth="1"/>
    <col min="15847" max="15847" width="3.7109375" style="1" customWidth="1"/>
    <col min="15848" max="15848" width="38.5703125" style="1" customWidth="1"/>
    <col min="15849" max="16089" width="9.140625" style="1"/>
    <col min="16090" max="16090" width="11.5703125" style="1" customWidth="1"/>
    <col min="16091" max="16091" width="12" style="1" customWidth="1"/>
    <col min="16092" max="16092" width="22.42578125" style="1" bestFit="1" customWidth="1"/>
    <col min="16093" max="16093" width="11.42578125" style="1" customWidth="1"/>
    <col min="16094" max="16094" width="46.42578125" style="1" bestFit="1" customWidth="1"/>
    <col min="16095" max="16095" width="15.7109375" style="1" customWidth="1"/>
    <col min="16096" max="16096" width="44" style="1" bestFit="1" customWidth="1"/>
    <col min="16097" max="16097" width="6.5703125" style="1" customWidth="1"/>
    <col min="16098" max="16098" width="6.85546875" style="1" customWidth="1"/>
    <col min="16099" max="16099" width="10.85546875" style="1" customWidth="1"/>
    <col min="16100" max="16100" width="38.28515625" style="1" customWidth="1"/>
    <col min="16101" max="16101" width="13.7109375" style="1" customWidth="1"/>
    <col min="16102" max="16102" width="6" style="1" customWidth="1"/>
    <col min="16103" max="16103" width="3.7109375" style="1" customWidth="1"/>
    <col min="16104" max="16104" width="38.5703125" style="1" customWidth="1"/>
    <col min="16105" max="16364" width="9.140625" style="1"/>
    <col min="16365" max="16384" width="9.140625" style="1" customWidth="1"/>
  </cols>
  <sheetData>
    <row r="1" spans="1:16" x14ac:dyDescent="0.25">
      <c r="A1" s="95" t="s">
        <v>55</v>
      </c>
      <c r="B1" s="94">
        <f>K17</f>
        <v>1</v>
      </c>
      <c r="C1" s="99">
        <f>AVERAGE(B1:B7)</f>
        <v>1</v>
      </c>
      <c r="D1" s="8">
        <f>H17</f>
        <v>2</v>
      </c>
      <c r="E1" s="96" t="e">
        <f>AVERAGE(F1:F6)</f>
        <v>#REF!</v>
      </c>
      <c r="F1" s="96">
        <f>AVERAGE(J11,J20,J29,J38,J47,J56,J67)</f>
        <v>1</v>
      </c>
      <c r="G1" s="6" t="s">
        <v>8</v>
      </c>
      <c r="H1" s="9"/>
      <c r="I1" s="9"/>
      <c r="J1" s="8"/>
      <c r="K1" s="7"/>
      <c r="L1" s="6"/>
      <c r="M1" s="5"/>
      <c r="N1" s="5"/>
      <c r="O1" s="4"/>
    </row>
    <row r="2" spans="1:16" x14ac:dyDescent="0.25">
      <c r="A2" s="95" t="s">
        <v>54</v>
      </c>
      <c r="B2" s="94">
        <f>K26</f>
        <v>1</v>
      </c>
      <c r="C2" s="97" t="s">
        <v>53</v>
      </c>
      <c r="D2" s="8">
        <f>H26</f>
        <v>2</v>
      </c>
      <c r="E2" s="9" t="str">
        <f>SUM(D1:D7)*10&amp;" "&amp;"Horas"&amp;" "&amp;"Hombre"&amp;" "&amp;"Disponibles"&amp;" "&amp;"Semana"</f>
        <v>140 Horas Hombre Disponibles Semana</v>
      </c>
      <c r="F2" s="96" t="e">
        <f>AVERAGE(#REF!,#REF!,#REF!,#REF!,#REF!,#REF!,#REF!)</f>
        <v>#REF!</v>
      </c>
      <c r="G2" s="6" t="s">
        <v>6</v>
      </c>
      <c r="H2" s="9"/>
      <c r="I2" s="9"/>
      <c r="J2" s="8"/>
      <c r="K2" s="7"/>
      <c r="L2" s="6"/>
      <c r="M2" s="5"/>
      <c r="N2" s="5"/>
      <c r="O2" s="4"/>
    </row>
    <row r="3" spans="1:16" x14ac:dyDescent="0.25">
      <c r="A3" s="95" t="s">
        <v>52</v>
      </c>
      <c r="B3" s="94">
        <f>K35</f>
        <v>1</v>
      </c>
      <c r="C3" s="9"/>
      <c r="D3" s="8">
        <f>H35</f>
        <v>2</v>
      </c>
      <c r="E3" s="9" t="str">
        <f>SUM(J17,J26,J35,J44,J53,J64,J73)&amp;" "&amp;"Horas"&amp;" "&amp;"Hombre"&amp;" "&amp;"Programadas"</f>
        <v>140 Horas Hombre Programadas</v>
      </c>
      <c r="F3" s="96" t="e">
        <f>AVERAGE(#REF!,#REF!,#REF!,#REF!,#REF!,#REF!,#REF!)</f>
        <v>#REF!</v>
      </c>
      <c r="G3" s="6" t="s">
        <v>4</v>
      </c>
      <c r="H3" s="9"/>
      <c r="I3" s="9"/>
      <c r="J3" s="8"/>
      <c r="K3" s="7"/>
      <c r="L3" s="6"/>
      <c r="M3" s="5"/>
      <c r="N3" s="5"/>
      <c r="O3" s="4"/>
    </row>
    <row r="4" spans="1:16" ht="12.75" customHeight="1" x14ac:dyDescent="0.25">
      <c r="A4" s="95" t="s">
        <v>51</v>
      </c>
      <c r="B4" s="94">
        <f>K44</f>
        <v>1</v>
      </c>
      <c r="C4" s="99">
        <f>1-C1</f>
        <v>0</v>
      </c>
      <c r="D4" s="8">
        <f>H44</f>
        <v>2</v>
      </c>
      <c r="E4" s="9" t="str">
        <f>(SUM(D1:D7)*10)-(SUM(J17,J26,J35,J44,J53,J64,J73))&amp;" "&amp;"Horas"&amp;" "&amp;"Atención"&amp;" "&amp;"OT"&amp;" "&amp;"Reactivo"</f>
        <v>0 Horas Atención OT Reactivo</v>
      </c>
      <c r="F4" s="98" t="e">
        <f>AVERAGE(#REF!,#REF!,#REF!,#REF!,#REF!,#REF!,#REF!)</f>
        <v>#REF!</v>
      </c>
      <c r="G4" s="6" t="s">
        <v>3</v>
      </c>
      <c r="H4" s="9"/>
      <c r="I4" s="9"/>
      <c r="J4" s="8"/>
      <c r="K4" s="7"/>
      <c r="L4" s="6"/>
      <c r="M4" s="5"/>
      <c r="N4" s="5"/>
      <c r="O4" s="4"/>
    </row>
    <row r="5" spans="1:16" x14ac:dyDescent="0.25">
      <c r="A5" s="95" t="s">
        <v>50</v>
      </c>
      <c r="B5" s="94">
        <f>K53</f>
        <v>1</v>
      </c>
      <c r="C5" s="97" t="s">
        <v>49</v>
      </c>
      <c r="D5" s="8">
        <f>H53</f>
        <v>2</v>
      </c>
      <c r="E5" s="9"/>
      <c r="F5" s="96" t="e">
        <f>AVERAGE(#REF!,#REF!,#REF!,#REF!,#REF!,#REF!,#REF!)</f>
        <v>#REF!</v>
      </c>
      <c r="G5" s="10" t="s">
        <v>48</v>
      </c>
      <c r="H5" s="9"/>
      <c r="I5" s="9"/>
      <c r="J5" s="8"/>
      <c r="K5" s="7"/>
      <c r="L5" s="6"/>
      <c r="M5" s="5"/>
      <c r="N5" s="5"/>
      <c r="O5" s="4"/>
    </row>
    <row r="6" spans="1:16" x14ac:dyDescent="0.25">
      <c r="A6" s="95" t="s">
        <v>47</v>
      </c>
      <c r="B6" s="94">
        <f>K64</f>
        <v>1</v>
      </c>
      <c r="C6" s="9"/>
      <c r="D6" s="8">
        <f>H64</f>
        <v>2</v>
      </c>
      <c r="E6" s="9"/>
      <c r="F6" s="96" t="e">
        <f>AVERAGE(#REF!,#REF!,#REF!,#REF!,#REF!,#REF!,#REF!)</f>
        <v>#REF!</v>
      </c>
      <c r="G6" s="10" t="s">
        <v>46</v>
      </c>
      <c r="H6" s="9"/>
      <c r="I6" s="9"/>
      <c r="J6" s="8"/>
      <c r="K6" s="7"/>
      <c r="L6" s="6"/>
      <c r="M6" s="5"/>
      <c r="N6" s="5"/>
      <c r="O6" s="4"/>
    </row>
    <row r="7" spans="1:16" x14ac:dyDescent="0.25">
      <c r="A7" s="95" t="s">
        <v>45</v>
      </c>
      <c r="B7" s="94">
        <f>K73</f>
        <v>1</v>
      </c>
      <c r="C7" s="9"/>
      <c r="D7" s="8">
        <f>H73</f>
        <v>2</v>
      </c>
      <c r="E7" s="9"/>
      <c r="F7" s="8"/>
      <c r="G7" s="10"/>
      <c r="H7" s="9"/>
      <c r="I7" s="9"/>
      <c r="J7" s="8"/>
      <c r="K7" s="7"/>
      <c r="L7" s="6"/>
      <c r="M7" s="5"/>
      <c r="N7" s="5"/>
      <c r="O7" s="4"/>
    </row>
    <row r="8" spans="1:16" ht="28.5" customHeight="1" thickBot="1" x14ac:dyDescent="0.3">
      <c r="A8" s="93"/>
      <c r="B8" s="92"/>
      <c r="C8" s="91" t="s">
        <v>44</v>
      </c>
      <c r="D8" s="90" t="s">
        <v>43</v>
      </c>
      <c r="E8" s="119" t="s">
        <v>68</v>
      </c>
      <c r="F8" s="120"/>
      <c r="G8" s="121"/>
      <c r="H8" s="89"/>
      <c r="I8" s="122" t="s">
        <v>42</v>
      </c>
      <c r="J8" s="123"/>
      <c r="K8" s="124"/>
      <c r="L8" s="6"/>
      <c r="M8" s="5"/>
      <c r="N8" s="5"/>
      <c r="O8" s="4"/>
    </row>
    <row r="9" spans="1:16" ht="15" thickTop="1" thickBot="1" x14ac:dyDescent="0.3">
      <c r="A9" s="66"/>
      <c r="B9" s="63"/>
      <c r="C9" s="63"/>
      <c r="D9" s="63"/>
      <c r="E9" s="125">
        <v>46174</v>
      </c>
      <c r="F9" s="125"/>
      <c r="G9" s="88"/>
      <c r="H9" s="64"/>
      <c r="I9" s="63"/>
      <c r="J9" s="62"/>
      <c r="K9" s="61"/>
      <c r="L9" s="6" t="s">
        <v>30</v>
      </c>
      <c r="M9" s="5" t="s">
        <v>41</v>
      </c>
      <c r="N9" s="5"/>
      <c r="O9" s="4"/>
    </row>
    <row r="10" spans="1:16" ht="27.75" thickTop="1" x14ac:dyDescent="0.25">
      <c r="A10" s="87" t="s">
        <v>29</v>
      </c>
      <c r="B10" s="59" t="s">
        <v>28</v>
      </c>
      <c r="C10" s="59" t="s">
        <v>27</v>
      </c>
      <c r="D10" s="59" t="s">
        <v>26</v>
      </c>
      <c r="E10" s="59" t="s">
        <v>25</v>
      </c>
      <c r="F10" s="59" t="s">
        <v>24</v>
      </c>
      <c r="G10" s="86" t="s">
        <v>23</v>
      </c>
      <c r="H10" s="59" t="s">
        <v>22</v>
      </c>
      <c r="I10" s="59" t="s">
        <v>21</v>
      </c>
      <c r="J10" s="85" t="s">
        <v>20</v>
      </c>
      <c r="K10" s="84" t="s">
        <v>19</v>
      </c>
      <c r="L10" s="6" t="s">
        <v>18</v>
      </c>
      <c r="M10" s="5" t="s">
        <v>41</v>
      </c>
      <c r="N10" s="5"/>
      <c r="O10" s="50"/>
    </row>
    <row r="11" spans="1:16" x14ac:dyDescent="0.25">
      <c r="A11" s="44"/>
      <c r="B11" s="44"/>
      <c r="C11" s="54"/>
      <c r="D11" s="44"/>
      <c r="E11" s="45" t="s">
        <v>17</v>
      </c>
      <c r="F11" s="44"/>
      <c r="G11" s="54"/>
      <c r="H11" s="83">
        <v>2</v>
      </c>
      <c r="I11" s="41">
        <f>H11*10</f>
        <v>20</v>
      </c>
      <c r="J11" s="40">
        <f>SUM(J12:J16)/I11</f>
        <v>1</v>
      </c>
      <c r="K11" s="39" t="str">
        <f>SUM(J12:J16)&amp;" "&amp;"Hrs"&amp;" "&amp;"GRUPO 1"</f>
        <v>20 Hrs GRUPO 1</v>
      </c>
      <c r="L11" s="6" t="s">
        <v>8</v>
      </c>
      <c r="M11" s="5" t="s">
        <v>41</v>
      </c>
      <c r="N11" s="42"/>
      <c r="O11" s="49"/>
      <c r="P11" s="48" t="s">
        <v>7</v>
      </c>
    </row>
    <row r="12" spans="1:16" x14ac:dyDescent="0.25">
      <c r="A12" s="25">
        <v>895200</v>
      </c>
      <c r="B12" s="52" t="s">
        <v>14</v>
      </c>
      <c r="C12" s="53" t="s">
        <v>13</v>
      </c>
      <c r="D12" s="52">
        <v>3</v>
      </c>
      <c r="E12" s="23" t="s">
        <v>34</v>
      </c>
      <c r="F12" s="25" t="s">
        <v>36</v>
      </c>
      <c r="G12" s="23" t="s">
        <v>35</v>
      </c>
      <c r="H12" s="25">
        <v>1</v>
      </c>
      <c r="I12" s="25">
        <v>10</v>
      </c>
      <c r="J12" s="21">
        <f>IF(H12&lt;&gt;"",H12*I12,"")</f>
        <v>10</v>
      </c>
      <c r="K12" s="38"/>
      <c r="L12" s="6" t="s">
        <v>8</v>
      </c>
      <c r="M12" s="5" t="s">
        <v>41</v>
      </c>
      <c r="N12" s="42"/>
      <c r="O12" s="46"/>
      <c r="P12" s="48" t="s">
        <v>7</v>
      </c>
    </row>
    <row r="13" spans="1:16" x14ac:dyDescent="0.25">
      <c r="A13" s="25">
        <v>895203</v>
      </c>
      <c r="B13" s="52" t="s">
        <v>14</v>
      </c>
      <c r="C13" s="53" t="s">
        <v>13</v>
      </c>
      <c r="D13" s="52">
        <v>3</v>
      </c>
      <c r="E13" s="30" t="s">
        <v>34</v>
      </c>
      <c r="F13" s="25" t="s">
        <v>33</v>
      </c>
      <c r="G13" s="23" t="s">
        <v>32</v>
      </c>
      <c r="H13" s="25">
        <v>1</v>
      </c>
      <c r="I13" s="25">
        <v>10</v>
      </c>
      <c r="J13" s="21">
        <f>IF(H13&lt;&gt;"",H13*I13,"")</f>
        <v>10</v>
      </c>
      <c r="K13" s="38"/>
      <c r="L13" s="37" t="s">
        <v>8</v>
      </c>
      <c r="M13" s="5" t="s">
        <v>41</v>
      </c>
      <c r="N13" s="5"/>
      <c r="O13" s="49"/>
      <c r="P13" s="48" t="s">
        <v>7</v>
      </c>
    </row>
    <row r="14" spans="1:16" hidden="1" x14ac:dyDescent="0.25">
      <c r="A14" s="34"/>
      <c r="B14" s="52"/>
      <c r="C14" s="53"/>
      <c r="D14" s="52"/>
      <c r="E14" s="73"/>
      <c r="F14" s="74"/>
      <c r="G14" s="73"/>
      <c r="H14" s="77"/>
      <c r="I14" s="77"/>
      <c r="J14" s="21"/>
      <c r="K14" s="38"/>
      <c r="L14" s="6" t="s">
        <v>8</v>
      </c>
      <c r="M14" s="5" t="s">
        <v>41</v>
      </c>
      <c r="N14" s="42"/>
      <c r="O14" s="49"/>
      <c r="P14" s="51" t="s">
        <v>9</v>
      </c>
    </row>
    <row r="15" spans="1:16" hidden="1" x14ac:dyDescent="0.25">
      <c r="A15" s="34"/>
      <c r="B15" s="79"/>
      <c r="C15" s="78"/>
      <c r="D15" s="76"/>
      <c r="E15" s="73"/>
      <c r="F15" s="74"/>
      <c r="G15" s="73"/>
      <c r="H15" s="75"/>
      <c r="I15" s="75"/>
      <c r="J15" s="21" t="str">
        <f>IF(H15&lt;&gt;"",H15*I15,"")</f>
        <v/>
      </c>
      <c r="K15" s="38"/>
      <c r="L15" s="6" t="s">
        <v>8</v>
      </c>
      <c r="M15" s="5" t="s">
        <v>41</v>
      </c>
      <c r="N15" s="42"/>
      <c r="O15" s="47"/>
      <c r="P15" s="48" t="s">
        <v>5</v>
      </c>
    </row>
    <row r="16" spans="1:16" hidden="1" x14ac:dyDescent="0.25">
      <c r="A16" s="25"/>
      <c r="B16" s="25"/>
      <c r="C16" s="23"/>
      <c r="D16" s="22"/>
      <c r="E16" s="23"/>
      <c r="F16" s="22"/>
      <c r="G16" s="23"/>
      <c r="H16" s="22"/>
      <c r="I16" s="22"/>
      <c r="J16" s="21" t="str">
        <f>IF(H16&lt;&gt;"",H16*I16,"")</f>
        <v/>
      </c>
      <c r="K16" s="38"/>
      <c r="L16" s="6" t="s">
        <v>8</v>
      </c>
      <c r="M16" s="5" t="s">
        <v>41</v>
      </c>
      <c r="N16" s="42"/>
      <c r="O16" s="49"/>
      <c r="P16" s="48" t="s">
        <v>5</v>
      </c>
    </row>
    <row r="17" spans="1:16" ht="14.25" thickBot="1" x14ac:dyDescent="0.3">
      <c r="A17" s="72"/>
      <c r="B17" s="71"/>
      <c r="C17" s="71"/>
      <c r="D17" s="71"/>
      <c r="E17" s="70" t="s">
        <v>2</v>
      </c>
      <c r="F17" s="69"/>
      <c r="G17" s="68"/>
      <c r="H17" s="15">
        <f>H11</f>
        <v>2</v>
      </c>
      <c r="I17" s="67">
        <f>H17*10</f>
        <v>20</v>
      </c>
      <c r="J17" s="14">
        <f>SUM(J12:J16,)</f>
        <v>20</v>
      </c>
      <c r="K17" s="13">
        <f>J17/I17</f>
        <v>1</v>
      </c>
      <c r="L17" s="6" t="s">
        <v>1</v>
      </c>
      <c r="M17" s="5" t="s">
        <v>41</v>
      </c>
      <c r="N17" s="5"/>
      <c r="O17" s="4"/>
    </row>
    <row r="18" spans="1:16" ht="15" thickTop="1" thickBot="1" x14ac:dyDescent="0.3">
      <c r="A18" s="82"/>
      <c r="B18" s="81"/>
      <c r="C18" s="81"/>
      <c r="D18" s="81"/>
      <c r="E18" s="126">
        <f>E9+1</f>
        <v>46175</v>
      </c>
      <c r="F18" s="127"/>
      <c r="G18" s="80"/>
      <c r="H18" s="64"/>
      <c r="I18" s="63"/>
      <c r="J18" s="62"/>
      <c r="K18" s="61"/>
      <c r="L18" s="6" t="s">
        <v>30</v>
      </c>
      <c r="M18" s="5" t="s">
        <v>40</v>
      </c>
      <c r="N18" s="5"/>
      <c r="O18" s="4"/>
    </row>
    <row r="19" spans="1:16" ht="28.5" thickTop="1" thickBot="1" x14ac:dyDescent="0.3">
      <c r="A19" s="60" t="s">
        <v>29</v>
      </c>
      <c r="B19" s="57" t="s">
        <v>28</v>
      </c>
      <c r="C19" s="57" t="s">
        <v>27</v>
      </c>
      <c r="D19" s="57" t="s">
        <v>26</v>
      </c>
      <c r="E19" s="59" t="s">
        <v>25</v>
      </c>
      <c r="F19" s="57" t="s">
        <v>24</v>
      </c>
      <c r="G19" s="58" t="s">
        <v>23</v>
      </c>
      <c r="H19" s="57" t="s">
        <v>22</v>
      </c>
      <c r="I19" s="57" t="s">
        <v>21</v>
      </c>
      <c r="J19" s="56" t="s">
        <v>20</v>
      </c>
      <c r="K19" s="55" t="s">
        <v>19</v>
      </c>
      <c r="L19" s="6" t="s">
        <v>18</v>
      </c>
      <c r="M19" s="5" t="s">
        <v>40</v>
      </c>
      <c r="N19" s="5"/>
      <c r="O19" s="50"/>
    </row>
    <row r="20" spans="1:16" ht="14.25" thickTop="1" x14ac:dyDescent="0.25">
      <c r="A20" s="44"/>
      <c r="B20" s="44"/>
      <c r="C20" s="54"/>
      <c r="D20" s="44"/>
      <c r="E20" s="45" t="s">
        <v>17</v>
      </c>
      <c r="F20" s="44"/>
      <c r="G20" s="54"/>
      <c r="H20" s="43">
        <v>2</v>
      </c>
      <c r="I20" s="41">
        <f>H20*10</f>
        <v>20</v>
      </c>
      <c r="J20" s="40">
        <f>SUM(J21:J25)/I20</f>
        <v>1</v>
      </c>
      <c r="K20" s="39" t="str">
        <f>SUM(J21:J25)&amp;" "&amp;"Hrs"&amp;" "&amp;"GRUPO 1"</f>
        <v>20 Hrs GRUPO 1</v>
      </c>
      <c r="L20" s="6" t="s">
        <v>8</v>
      </c>
      <c r="M20" s="5" t="s">
        <v>40</v>
      </c>
      <c r="N20" s="42"/>
      <c r="O20" s="49"/>
      <c r="P20" s="48" t="s">
        <v>7</v>
      </c>
    </row>
    <row r="21" spans="1:16" x14ac:dyDescent="0.25">
      <c r="A21" s="25">
        <v>895200</v>
      </c>
      <c r="B21" s="52" t="s">
        <v>14</v>
      </c>
      <c r="C21" s="53" t="s">
        <v>13</v>
      </c>
      <c r="D21" s="52">
        <v>3</v>
      </c>
      <c r="E21" s="23" t="s">
        <v>34</v>
      </c>
      <c r="F21" s="25" t="s">
        <v>36</v>
      </c>
      <c r="G21" s="23" t="s">
        <v>35</v>
      </c>
      <c r="H21" s="25">
        <v>1</v>
      </c>
      <c r="I21" s="25">
        <v>10</v>
      </c>
      <c r="J21" s="21">
        <f>IF(H21&lt;&gt;"",H21*I21,"")</f>
        <v>10</v>
      </c>
      <c r="K21" s="38"/>
      <c r="L21" s="6" t="s">
        <v>8</v>
      </c>
      <c r="M21" s="5" t="s">
        <v>40</v>
      </c>
      <c r="N21" s="42"/>
      <c r="O21" s="46"/>
      <c r="P21" s="48" t="s">
        <v>7</v>
      </c>
    </row>
    <row r="22" spans="1:16" x14ac:dyDescent="0.25">
      <c r="A22" s="25">
        <v>895203</v>
      </c>
      <c r="B22" s="52" t="s">
        <v>14</v>
      </c>
      <c r="C22" s="53" t="s">
        <v>13</v>
      </c>
      <c r="D22" s="52">
        <v>3</v>
      </c>
      <c r="E22" s="30" t="s">
        <v>34</v>
      </c>
      <c r="F22" s="25" t="s">
        <v>33</v>
      </c>
      <c r="G22" s="23" t="s">
        <v>32</v>
      </c>
      <c r="H22" s="25">
        <v>1</v>
      </c>
      <c r="I22" s="25">
        <v>10</v>
      </c>
      <c r="J22" s="21">
        <f>IF(H22&lt;&gt;"",H22*I22,"")</f>
        <v>10</v>
      </c>
      <c r="K22" s="38"/>
      <c r="L22" s="6" t="s">
        <v>8</v>
      </c>
      <c r="M22" s="5" t="s">
        <v>40</v>
      </c>
      <c r="N22" s="42"/>
      <c r="O22" s="49"/>
      <c r="P22" s="48" t="s">
        <v>7</v>
      </c>
    </row>
    <row r="23" spans="1:16" hidden="1" x14ac:dyDescent="0.25">
      <c r="A23" s="34"/>
      <c r="B23" s="33"/>
      <c r="C23" s="32"/>
      <c r="D23" s="31"/>
      <c r="E23" s="30"/>
      <c r="F23" s="29"/>
      <c r="G23" s="28"/>
      <c r="H23" s="27"/>
      <c r="I23" s="27"/>
      <c r="J23" s="21" t="str">
        <f>IF(H23&lt;&gt;"",H23*I23,"")</f>
        <v/>
      </c>
      <c r="K23" s="38"/>
      <c r="L23" s="6" t="s">
        <v>8</v>
      </c>
      <c r="M23" s="5" t="s">
        <v>40</v>
      </c>
      <c r="N23" s="42"/>
      <c r="O23" s="49"/>
      <c r="P23" s="51" t="s">
        <v>9</v>
      </c>
    </row>
    <row r="24" spans="1:16" hidden="1" x14ac:dyDescent="0.25">
      <c r="A24" s="26"/>
      <c r="B24" s="25"/>
      <c r="C24" s="24"/>
      <c r="D24" s="22"/>
      <c r="E24" s="23"/>
      <c r="F24" s="22"/>
      <c r="G24" s="23"/>
      <c r="H24" s="22"/>
      <c r="I24" s="22"/>
      <c r="J24" s="21" t="str">
        <f>IF(H24&lt;&gt;"",H24*I24,"")</f>
        <v/>
      </c>
      <c r="K24" s="38"/>
      <c r="L24" s="6" t="s">
        <v>8</v>
      </c>
      <c r="M24" s="5" t="s">
        <v>40</v>
      </c>
      <c r="N24" s="42"/>
      <c r="O24" s="47"/>
      <c r="P24" s="48" t="s">
        <v>5</v>
      </c>
    </row>
    <row r="25" spans="1:16" hidden="1" x14ac:dyDescent="0.25">
      <c r="A25" s="25"/>
      <c r="B25" s="25"/>
      <c r="C25" s="23"/>
      <c r="D25" s="22"/>
      <c r="E25" s="23"/>
      <c r="F25" s="22"/>
      <c r="G25" s="23"/>
      <c r="H25" s="22"/>
      <c r="I25" s="22"/>
      <c r="J25" s="21" t="str">
        <f>IF(H25&lt;&gt;"",H25*I25,"")</f>
        <v/>
      </c>
      <c r="K25" s="38"/>
      <c r="L25" s="6" t="s">
        <v>8</v>
      </c>
      <c r="M25" s="5" t="s">
        <v>40</v>
      </c>
      <c r="N25" s="42"/>
      <c r="O25" s="49"/>
      <c r="P25" s="48" t="s">
        <v>5</v>
      </c>
    </row>
    <row r="26" spans="1:16" ht="14.25" thickBot="1" x14ac:dyDescent="0.3">
      <c r="A26" s="72"/>
      <c r="B26" s="71"/>
      <c r="C26" s="71"/>
      <c r="D26" s="71"/>
      <c r="E26" s="70" t="s">
        <v>2</v>
      </c>
      <c r="F26" s="69"/>
      <c r="G26" s="68"/>
      <c r="H26" s="15">
        <f>H20</f>
        <v>2</v>
      </c>
      <c r="I26" s="67">
        <f>H26*10</f>
        <v>20</v>
      </c>
      <c r="J26" s="14">
        <f>SUM(J21:J25,)</f>
        <v>20</v>
      </c>
      <c r="K26" s="13">
        <f>J26/I26</f>
        <v>1</v>
      </c>
      <c r="L26" s="6" t="s">
        <v>1</v>
      </c>
      <c r="M26" s="5" t="s">
        <v>40</v>
      </c>
      <c r="N26" s="5"/>
      <c r="O26" s="4"/>
    </row>
    <row r="27" spans="1:16" ht="15" thickTop="1" thickBot="1" x14ac:dyDescent="0.3">
      <c r="A27" s="66"/>
      <c r="B27" s="63"/>
      <c r="C27" s="63"/>
      <c r="D27" s="63"/>
      <c r="E27" s="117">
        <f>E18+1</f>
        <v>46176</v>
      </c>
      <c r="F27" s="118"/>
      <c r="G27" s="65"/>
      <c r="H27" s="64"/>
      <c r="I27" s="63"/>
      <c r="J27" s="62"/>
      <c r="K27" s="61"/>
      <c r="L27" s="6" t="s">
        <v>30</v>
      </c>
      <c r="M27" s="5" t="s">
        <v>39</v>
      </c>
      <c r="N27" s="5"/>
      <c r="O27" s="4"/>
    </row>
    <row r="28" spans="1:16" ht="28.5" thickTop="1" thickBot="1" x14ac:dyDescent="0.3">
      <c r="A28" s="60" t="s">
        <v>29</v>
      </c>
      <c r="B28" s="57" t="s">
        <v>28</v>
      </c>
      <c r="C28" s="57" t="s">
        <v>27</v>
      </c>
      <c r="D28" s="57" t="s">
        <v>26</v>
      </c>
      <c r="E28" s="59" t="s">
        <v>25</v>
      </c>
      <c r="F28" s="57" t="s">
        <v>24</v>
      </c>
      <c r="G28" s="58" t="s">
        <v>23</v>
      </c>
      <c r="H28" s="57" t="s">
        <v>22</v>
      </c>
      <c r="I28" s="57" t="s">
        <v>21</v>
      </c>
      <c r="J28" s="56" t="s">
        <v>20</v>
      </c>
      <c r="K28" s="55" t="s">
        <v>19</v>
      </c>
      <c r="L28" s="6" t="s">
        <v>18</v>
      </c>
      <c r="M28" s="5" t="s">
        <v>39</v>
      </c>
      <c r="N28" s="5"/>
      <c r="O28" s="50"/>
    </row>
    <row r="29" spans="1:16" ht="14.25" thickTop="1" x14ac:dyDescent="0.25">
      <c r="A29" s="44"/>
      <c r="B29" s="44"/>
      <c r="C29" s="54"/>
      <c r="D29" s="44"/>
      <c r="E29" s="45" t="s">
        <v>17</v>
      </c>
      <c r="F29" s="44"/>
      <c r="G29" s="54"/>
      <c r="H29" s="43">
        <v>2</v>
      </c>
      <c r="I29" s="41">
        <f>H29*10</f>
        <v>20</v>
      </c>
      <c r="J29" s="40">
        <f>SUM(J30:J34)/I29</f>
        <v>1</v>
      </c>
      <c r="K29" s="39" t="str">
        <f>SUM(J30:J34)&amp;" "&amp;"Hrs"&amp;" "&amp;"GRUPO 1"</f>
        <v>20 Hrs GRUPO 1</v>
      </c>
      <c r="L29" s="6" t="s">
        <v>8</v>
      </c>
      <c r="M29" s="5" t="s">
        <v>39</v>
      </c>
      <c r="N29" s="42"/>
      <c r="O29" s="49"/>
      <c r="P29" s="48" t="s">
        <v>7</v>
      </c>
    </row>
    <row r="30" spans="1:16" x14ac:dyDescent="0.25">
      <c r="A30" s="25">
        <v>895200</v>
      </c>
      <c r="B30" s="52" t="s">
        <v>14</v>
      </c>
      <c r="C30" s="53" t="s">
        <v>13</v>
      </c>
      <c r="D30" s="52">
        <v>3</v>
      </c>
      <c r="E30" s="23" t="s">
        <v>34</v>
      </c>
      <c r="F30" s="25" t="s">
        <v>36</v>
      </c>
      <c r="G30" s="23" t="s">
        <v>35</v>
      </c>
      <c r="H30" s="25">
        <v>1</v>
      </c>
      <c r="I30" s="25">
        <v>10</v>
      </c>
      <c r="J30" s="21">
        <f>IF(H30&lt;&gt;"",H30*I30,"")</f>
        <v>10</v>
      </c>
      <c r="K30" s="38"/>
      <c r="L30" s="6" t="s">
        <v>8</v>
      </c>
      <c r="M30" s="5" t="s">
        <v>39</v>
      </c>
      <c r="N30" s="42"/>
      <c r="O30" s="46"/>
      <c r="P30" s="48" t="s">
        <v>7</v>
      </c>
    </row>
    <row r="31" spans="1:16" x14ac:dyDescent="0.25">
      <c r="A31" s="25">
        <v>895203</v>
      </c>
      <c r="B31" s="52" t="s">
        <v>14</v>
      </c>
      <c r="C31" s="53" t="s">
        <v>13</v>
      </c>
      <c r="D31" s="52">
        <v>3</v>
      </c>
      <c r="E31" s="30" t="s">
        <v>34</v>
      </c>
      <c r="F31" s="25" t="s">
        <v>33</v>
      </c>
      <c r="G31" s="23" t="s">
        <v>32</v>
      </c>
      <c r="H31" s="25">
        <v>1</v>
      </c>
      <c r="I31" s="25">
        <v>10</v>
      </c>
      <c r="J31" s="21">
        <f>IF(H31&lt;&gt;"",H31*I31,"")</f>
        <v>10</v>
      </c>
      <c r="K31" s="38"/>
      <c r="L31" s="6" t="s">
        <v>8</v>
      </c>
      <c r="M31" s="5" t="s">
        <v>39</v>
      </c>
      <c r="N31" s="42"/>
      <c r="O31" s="49"/>
      <c r="P31" s="48" t="s">
        <v>7</v>
      </c>
    </row>
    <row r="32" spans="1:16" hidden="1" x14ac:dyDescent="0.25">
      <c r="A32" s="34"/>
      <c r="B32" s="33"/>
      <c r="C32" s="32"/>
      <c r="D32" s="31"/>
      <c r="E32" s="30"/>
      <c r="F32" s="29"/>
      <c r="G32" s="28"/>
      <c r="H32" s="27"/>
      <c r="I32" s="27"/>
      <c r="J32" s="21" t="str">
        <f>IF(H32&lt;&gt;"",H32*I32,"")</f>
        <v/>
      </c>
      <c r="K32" s="38"/>
      <c r="L32" s="6" t="s">
        <v>8</v>
      </c>
      <c r="M32" s="5" t="s">
        <v>39</v>
      </c>
      <c r="N32" s="42"/>
      <c r="O32" s="49"/>
      <c r="P32" s="51" t="s">
        <v>9</v>
      </c>
    </row>
    <row r="33" spans="1:16" hidden="1" x14ac:dyDescent="0.25">
      <c r="A33" s="26"/>
      <c r="B33" s="25"/>
      <c r="C33" s="24"/>
      <c r="D33" s="22"/>
      <c r="E33" s="23"/>
      <c r="F33" s="22"/>
      <c r="G33" s="23"/>
      <c r="H33" s="22"/>
      <c r="I33" s="22"/>
      <c r="J33" s="21" t="str">
        <f>IF(H33&lt;&gt;"",H33*I33,"")</f>
        <v/>
      </c>
      <c r="K33" s="38"/>
      <c r="L33" s="6" t="s">
        <v>8</v>
      </c>
      <c r="M33" s="5" t="s">
        <v>39</v>
      </c>
      <c r="N33" s="42"/>
      <c r="O33" s="47"/>
      <c r="P33" s="48" t="s">
        <v>5</v>
      </c>
    </row>
    <row r="34" spans="1:16" hidden="1" x14ac:dyDescent="0.25">
      <c r="A34" s="26"/>
      <c r="B34" s="25"/>
      <c r="C34" s="24"/>
      <c r="D34" s="22"/>
      <c r="E34" s="23"/>
      <c r="F34" s="22"/>
      <c r="G34" s="23"/>
      <c r="H34" s="22"/>
      <c r="I34" s="22"/>
      <c r="J34" s="21" t="str">
        <f>IF(H34&lt;&gt;"",H34*I34,"")</f>
        <v/>
      </c>
      <c r="K34" s="38"/>
      <c r="L34" s="6" t="s">
        <v>8</v>
      </c>
      <c r="M34" s="5" t="s">
        <v>39</v>
      </c>
      <c r="N34" s="42"/>
      <c r="O34" s="49"/>
      <c r="P34" s="48" t="s">
        <v>5</v>
      </c>
    </row>
    <row r="35" spans="1:16" ht="14.25" thickBot="1" x14ac:dyDescent="0.3">
      <c r="A35" s="72"/>
      <c r="B35" s="71"/>
      <c r="C35" s="71"/>
      <c r="D35" s="71"/>
      <c r="E35" s="70" t="s">
        <v>2</v>
      </c>
      <c r="F35" s="69"/>
      <c r="G35" s="68"/>
      <c r="H35" s="15">
        <f>H29</f>
        <v>2</v>
      </c>
      <c r="I35" s="67">
        <f>H35*10</f>
        <v>20</v>
      </c>
      <c r="J35" s="14">
        <f>SUM(J30:J34,)</f>
        <v>20</v>
      </c>
      <c r="K35" s="13">
        <f>J35/I35</f>
        <v>1</v>
      </c>
      <c r="L35" s="6" t="s">
        <v>1</v>
      </c>
      <c r="M35" s="5" t="s">
        <v>39</v>
      </c>
      <c r="N35" s="5"/>
      <c r="O35" s="4"/>
    </row>
    <row r="36" spans="1:16" ht="15" thickTop="1" thickBot="1" x14ac:dyDescent="0.3">
      <c r="A36" s="66"/>
      <c r="B36" s="63"/>
      <c r="C36" s="63"/>
      <c r="D36" s="63"/>
      <c r="E36" s="117">
        <f>E27+1</f>
        <v>46177</v>
      </c>
      <c r="F36" s="118"/>
      <c r="G36" s="65"/>
      <c r="H36" s="64"/>
      <c r="I36" s="63"/>
      <c r="J36" s="62"/>
      <c r="K36" s="61"/>
      <c r="L36" s="6" t="s">
        <v>30</v>
      </c>
      <c r="M36" s="5" t="s">
        <v>38</v>
      </c>
      <c r="N36" s="5"/>
      <c r="O36" s="4"/>
    </row>
    <row r="37" spans="1:16" ht="28.5" thickTop="1" thickBot="1" x14ac:dyDescent="0.3">
      <c r="A37" s="60" t="s">
        <v>29</v>
      </c>
      <c r="B37" s="57" t="s">
        <v>28</v>
      </c>
      <c r="C37" s="57" t="s">
        <v>27</v>
      </c>
      <c r="D37" s="57" t="s">
        <v>26</v>
      </c>
      <c r="E37" s="59" t="s">
        <v>25</v>
      </c>
      <c r="F37" s="57" t="s">
        <v>24</v>
      </c>
      <c r="G37" s="58" t="s">
        <v>23</v>
      </c>
      <c r="H37" s="57" t="s">
        <v>22</v>
      </c>
      <c r="I37" s="57" t="s">
        <v>21</v>
      </c>
      <c r="J37" s="56" t="s">
        <v>20</v>
      </c>
      <c r="K37" s="55" t="s">
        <v>19</v>
      </c>
      <c r="L37" s="6" t="s">
        <v>18</v>
      </c>
      <c r="M37" s="5" t="s">
        <v>38</v>
      </c>
      <c r="N37" s="5"/>
      <c r="O37" s="50"/>
    </row>
    <row r="38" spans="1:16" ht="14.25" thickTop="1" x14ac:dyDescent="0.25">
      <c r="A38" s="44"/>
      <c r="B38" s="44"/>
      <c r="C38" s="54"/>
      <c r="D38" s="44"/>
      <c r="E38" s="45" t="s">
        <v>17</v>
      </c>
      <c r="F38" s="44"/>
      <c r="G38" s="54"/>
      <c r="H38" s="43">
        <v>2</v>
      </c>
      <c r="I38" s="41">
        <f>H38*10</f>
        <v>20</v>
      </c>
      <c r="J38" s="40">
        <f>SUM(J39:J43)/I38</f>
        <v>1</v>
      </c>
      <c r="K38" s="39" t="str">
        <f>SUM(J39:J43)&amp;" "&amp;"Hrs"&amp;" "&amp;"GRUPO 1"</f>
        <v>20 Hrs GRUPO 1</v>
      </c>
      <c r="L38" s="6" t="s">
        <v>8</v>
      </c>
      <c r="M38" s="5" t="s">
        <v>38</v>
      </c>
      <c r="N38" s="42"/>
      <c r="O38" s="49"/>
      <c r="P38" s="48" t="s">
        <v>7</v>
      </c>
    </row>
    <row r="39" spans="1:16" x14ac:dyDescent="0.25">
      <c r="A39" s="25">
        <v>895200</v>
      </c>
      <c r="B39" s="52" t="s">
        <v>14</v>
      </c>
      <c r="C39" s="53" t="s">
        <v>13</v>
      </c>
      <c r="D39" s="52">
        <v>3</v>
      </c>
      <c r="E39" s="23" t="s">
        <v>34</v>
      </c>
      <c r="F39" s="25" t="s">
        <v>36</v>
      </c>
      <c r="G39" s="23" t="s">
        <v>35</v>
      </c>
      <c r="H39" s="25">
        <v>1</v>
      </c>
      <c r="I39" s="25">
        <v>10</v>
      </c>
      <c r="J39" s="21">
        <f>IF(H39&lt;&gt;"",H39*I39,"")</f>
        <v>10</v>
      </c>
      <c r="K39" s="38"/>
      <c r="L39" s="6" t="s">
        <v>8</v>
      </c>
      <c r="M39" s="5" t="s">
        <v>38</v>
      </c>
      <c r="N39" s="42"/>
      <c r="O39" s="46"/>
      <c r="P39" s="48" t="s">
        <v>7</v>
      </c>
    </row>
    <row r="40" spans="1:16" x14ac:dyDescent="0.25">
      <c r="A40" s="25">
        <v>895203</v>
      </c>
      <c r="B40" s="52" t="s">
        <v>14</v>
      </c>
      <c r="C40" s="53" t="s">
        <v>13</v>
      </c>
      <c r="D40" s="52">
        <v>3</v>
      </c>
      <c r="E40" s="30" t="s">
        <v>34</v>
      </c>
      <c r="F40" s="25" t="s">
        <v>33</v>
      </c>
      <c r="G40" s="23" t="s">
        <v>32</v>
      </c>
      <c r="H40" s="25">
        <v>1</v>
      </c>
      <c r="I40" s="25">
        <v>10</v>
      </c>
      <c r="J40" s="21">
        <f>IF(H40&lt;&gt;"",H40*I40,"")</f>
        <v>10</v>
      </c>
      <c r="K40" s="38"/>
      <c r="L40" s="6" t="s">
        <v>8</v>
      </c>
      <c r="M40" s="5" t="s">
        <v>38</v>
      </c>
      <c r="N40" s="5"/>
      <c r="O40" s="49"/>
      <c r="P40" s="48" t="s">
        <v>7</v>
      </c>
    </row>
    <row r="41" spans="1:16" hidden="1" x14ac:dyDescent="0.25">
      <c r="A41" s="34"/>
      <c r="B41" s="52"/>
      <c r="C41" s="53"/>
      <c r="D41" s="52"/>
      <c r="E41" s="73"/>
      <c r="F41" s="74"/>
      <c r="G41" s="73"/>
      <c r="H41" s="77"/>
      <c r="I41" s="77"/>
      <c r="J41" s="21" t="str">
        <f>IF(H41&lt;&gt;"",H41*I41,"")</f>
        <v/>
      </c>
      <c r="K41" s="38"/>
      <c r="L41" s="6" t="s">
        <v>8</v>
      </c>
      <c r="M41" s="5" t="s">
        <v>38</v>
      </c>
      <c r="N41" s="42"/>
      <c r="O41" s="49"/>
      <c r="P41" s="51" t="s">
        <v>9</v>
      </c>
    </row>
    <row r="42" spans="1:16" hidden="1" x14ac:dyDescent="0.25">
      <c r="A42" s="34"/>
      <c r="B42" s="33"/>
      <c r="C42" s="32"/>
      <c r="D42" s="31"/>
      <c r="E42" s="30"/>
      <c r="F42" s="29"/>
      <c r="G42" s="28"/>
      <c r="H42" s="27"/>
      <c r="I42" s="27"/>
      <c r="J42" s="21" t="str">
        <f>IF(H42&lt;&gt;"",H42*I42,"")</f>
        <v/>
      </c>
      <c r="K42" s="38"/>
      <c r="L42" s="6" t="s">
        <v>8</v>
      </c>
      <c r="M42" s="5" t="s">
        <v>38</v>
      </c>
      <c r="N42" s="42"/>
      <c r="O42" s="47"/>
      <c r="P42" s="51" t="s">
        <v>9</v>
      </c>
    </row>
    <row r="43" spans="1:16" hidden="1" x14ac:dyDescent="0.25">
      <c r="A43" s="34"/>
      <c r="B43" s="33"/>
      <c r="C43" s="32"/>
      <c r="D43" s="31"/>
      <c r="E43" s="30"/>
      <c r="F43" s="29"/>
      <c r="G43" s="28"/>
      <c r="H43" s="27"/>
      <c r="I43" s="27"/>
      <c r="J43" s="21" t="str">
        <f>IF(H43&lt;&gt;"",H43*I43,"")</f>
        <v/>
      </c>
      <c r="K43" s="38"/>
      <c r="L43" s="6" t="s">
        <v>8</v>
      </c>
      <c r="M43" s="5" t="s">
        <v>38</v>
      </c>
      <c r="N43" s="42"/>
      <c r="O43" s="49"/>
      <c r="P43" s="48" t="s">
        <v>7</v>
      </c>
    </row>
    <row r="44" spans="1:16" ht="14.25" thickBot="1" x14ac:dyDescent="0.3">
      <c r="A44" s="72"/>
      <c r="B44" s="71"/>
      <c r="C44" s="71"/>
      <c r="D44" s="71"/>
      <c r="E44" s="70" t="s">
        <v>2</v>
      </c>
      <c r="F44" s="69"/>
      <c r="G44" s="68"/>
      <c r="H44" s="15">
        <f>H38</f>
        <v>2</v>
      </c>
      <c r="I44" s="67">
        <f>H44*10</f>
        <v>20</v>
      </c>
      <c r="J44" s="14">
        <f>SUM(J39:J43,)</f>
        <v>20</v>
      </c>
      <c r="K44" s="13">
        <f>J44/I44</f>
        <v>1</v>
      </c>
      <c r="L44" s="6" t="s">
        <v>1</v>
      </c>
      <c r="M44" s="5" t="s">
        <v>38</v>
      </c>
      <c r="N44" s="5"/>
      <c r="O44" s="4"/>
    </row>
    <row r="45" spans="1:16" ht="15" thickTop="1" thickBot="1" x14ac:dyDescent="0.3">
      <c r="A45" s="66"/>
      <c r="B45" s="63"/>
      <c r="C45" s="63"/>
      <c r="D45" s="63"/>
      <c r="E45" s="117">
        <f>E36+1</f>
        <v>46178</v>
      </c>
      <c r="F45" s="118"/>
      <c r="G45" s="65"/>
      <c r="H45" s="64"/>
      <c r="I45" s="63"/>
      <c r="J45" s="62"/>
      <c r="K45" s="61"/>
      <c r="L45" s="6" t="s">
        <v>30</v>
      </c>
      <c r="M45" s="5" t="s">
        <v>37</v>
      </c>
      <c r="N45" s="5"/>
      <c r="O45" s="4"/>
    </row>
    <row r="46" spans="1:16" ht="28.5" thickTop="1" thickBot="1" x14ac:dyDescent="0.3">
      <c r="A46" s="60" t="s">
        <v>29</v>
      </c>
      <c r="B46" s="57" t="s">
        <v>28</v>
      </c>
      <c r="C46" s="57" t="s">
        <v>27</v>
      </c>
      <c r="D46" s="57" t="s">
        <v>26</v>
      </c>
      <c r="E46" s="59" t="s">
        <v>25</v>
      </c>
      <c r="F46" s="57" t="s">
        <v>24</v>
      </c>
      <c r="G46" s="58" t="s">
        <v>23</v>
      </c>
      <c r="H46" s="57" t="s">
        <v>22</v>
      </c>
      <c r="I46" s="57" t="s">
        <v>21</v>
      </c>
      <c r="J46" s="56" t="s">
        <v>20</v>
      </c>
      <c r="K46" s="55" t="s">
        <v>19</v>
      </c>
      <c r="L46" s="6" t="s">
        <v>18</v>
      </c>
      <c r="M46" s="5" t="s">
        <v>37</v>
      </c>
      <c r="N46" s="5"/>
      <c r="O46" s="50"/>
    </row>
    <row r="47" spans="1:16" ht="14.25" thickTop="1" x14ac:dyDescent="0.25">
      <c r="A47" s="44"/>
      <c r="B47" s="44"/>
      <c r="C47" s="54"/>
      <c r="D47" s="44"/>
      <c r="E47" s="45" t="s">
        <v>17</v>
      </c>
      <c r="F47" s="44"/>
      <c r="G47" s="54"/>
      <c r="H47" s="43">
        <v>2</v>
      </c>
      <c r="I47" s="41">
        <f>H47*10</f>
        <v>20</v>
      </c>
      <c r="J47" s="40">
        <f>SUM(J48:J52)/I47</f>
        <v>1</v>
      </c>
      <c r="K47" s="39" t="str">
        <f>SUM(J48:J52)&amp;" "&amp;"Hrs"&amp;" "&amp;"GRUPO 1"</f>
        <v>20 Hrs GRUPO 1</v>
      </c>
      <c r="L47" s="6" t="s">
        <v>8</v>
      </c>
      <c r="M47" s="5" t="s">
        <v>37</v>
      </c>
      <c r="N47" s="42"/>
      <c r="O47" s="49"/>
      <c r="P47" s="48" t="s">
        <v>7</v>
      </c>
    </row>
    <row r="48" spans="1:16" x14ac:dyDescent="0.25">
      <c r="A48" s="25">
        <v>895200</v>
      </c>
      <c r="B48" s="52" t="s">
        <v>14</v>
      </c>
      <c r="C48" s="53" t="s">
        <v>13</v>
      </c>
      <c r="D48" s="52">
        <v>3</v>
      </c>
      <c r="E48" s="23" t="s">
        <v>34</v>
      </c>
      <c r="F48" s="25" t="s">
        <v>36</v>
      </c>
      <c r="G48" s="23" t="s">
        <v>35</v>
      </c>
      <c r="H48" s="25">
        <v>1</v>
      </c>
      <c r="I48" s="25">
        <v>10</v>
      </c>
      <c r="J48" s="21">
        <f>IF(H48&lt;&gt;"",H48*I48,"")</f>
        <v>10</v>
      </c>
      <c r="K48" s="38"/>
      <c r="L48" s="6" t="s">
        <v>8</v>
      </c>
      <c r="M48" s="5" t="s">
        <v>37</v>
      </c>
      <c r="N48" s="42"/>
      <c r="O48" s="46"/>
      <c r="P48" s="48" t="s">
        <v>7</v>
      </c>
    </row>
    <row r="49" spans="1:16" x14ac:dyDescent="0.25">
      <c r="A49" s="25">
        <v>895203</v>
      </c>
      <c r="B49" s="52" t="s">
        <v>14</v>
      </c>
      <c r="C49" s="53" t="s">
        <v>13</v>
      </c>
      <c r="D49" s="52">
        <v>3</v>
      </c>
      <c r="E49" s="30" t="s">
        <v>34</v>
      </c>
      <c r="F49" s="25" t="s">
        <v>33</v>
      </c>
      <c r="G49" s="23" t="s">
        <v>32</v>
      </c>
      <c r="H49" s="25">
        <v>1</v>
      </c>
      <c r="I49" s="25">
        <v>10</v>
      </c>
      <c r="J49" s="21">
        <f>IF(H49&lt;&gt;"",H49*I49,"")</f>
        <v>10</v>
      </c>
      <c r="K49" s="38"/>
      <c r="L49" s="6" t="s">
        <v>8</v>
      </c>
      <c r="M49" s="5" t="s">
        <v>37</v>
      </c>
      <c r="N49" s="42"/>
      <c r="O49" s="49"/>
      <c r="P49" s="48" t="s">
        <v>7</v>
      </c>
    </row>
    <row r="50" spans="1:16" hidden="1" x14ac:dyDescent="0.25">
      <c r="A50" s="34"/>
      <c r="B50" s="33"/>
      <c r="C50" s="32"/>
      <c r="D50" s="31"/>
      <c r="E50" s="30"/>
      <c r="F50" s="29"/>
      <c r="G50" s="28"/>
      <c r="H50" s="27"/>
      <c r="I50" s="27"/>
      <c r="J50" s="21" t="str">
        <f>IF(H50&lt;&gt;"",H50*I50,"")</f>
        <v/>
      </c>
      <c r="K50" s="38"/>
      <c r="L50" s="6" t="s">
        <v>8</v>
      </c>
      <c r="M50" s="5" t="s">
        <v>37</v>
      </c>
      <c r="N50" s="42"/>
      <c r="O50" s="49"/>
      <c r="P50" s="51" t="s">
        <v>9</v>
      </c>
    </row>
    <row r="51" spans="1:16" hidden="1" x14ac:dyDescent="0.25">
      <c r="A51" s="34"/>
      <c r="B51" s="33"/>
      <c r="C51" s="32"/>
      <c r="D51" s="31"/>
      <c r="E51" s="30"/>
      <c r="F51" s="29"/>
      <c r="G51" s="28"/>
      <c r="H51" s="27"/>
      <c r="I51" s="27"/>
      <c r="J51" s="21" t="str">
        <f>IF(H51&lt;&gt;"",H51*I51,"")</f>
        <v/>
      </c>
      <c r="K51" s="38"/>
      <c r="L51" s="6" t="s">
        <v>8</v>
      </c>
      <c r="M51" s="5" t="s">
        <v>37</v>
      </c>
      <c r="N51" s="42"/>
      <c r="O51" s="47"/>
      <c r="P51" s="51" t="s">
        <v>9</v>
      </c>
    </row>
    <row r="52" spans="1:16" hidden="1" x14ac:dyDescent="0.25">
      <c r="A52" s="26"/>
      <c r="B52" s="25"/>
      <c r="C52" s="24"/>
      <c r="D52" s="22"/>
      <c r="E52" s="23"/>
      <c r="F52" s="22"/>
      <c r="G52" s="23"/>
      <c r="H52" s="22"/>
      <c r="I52" s="22"/>
      <c r="J52" s="21" t="str">
        <f>IF(H52&lt;&gt;"",H52*I52,"")</f>
        <v/>
      </c>
      <c r="K52" s="38"/>
      <c r="L52" s="6" t="s">
        <v>8</v>
      </c>
      <c r="M52" s="5" t="s">
        <v>37</v>
      </c>
      <c r="N52" s="42"/>
      <c r="O52" s="49"/>
      <c r="P52" s="48" t="s">
        <v>7</v>
      </c>
    </row>
    <row r="53" spans="1:16" ht="14.25" thickBot="1" x14ac:dyDescent="0.3">
      <c r="A53" s="72"/>
      <c r="B53" s="71"/>
      <c r="C53" s="71"/>
      <c r="D53" s="71"/>
      <c r="E53" s="70" t="s">
        <v>2</v>
      </c>
      <c r="F53" s="69"/>
      <c r="G53" s="68"/>
      <c r="H53" s="15">
        <f>H47</f>
        <v>2</v>
      </c>
      <c r="I53" s="67">
        <f>H53*10</f>
        <v>20</v>
      </c>
      <c r="J53" s="14">
        <f>SUM(J48:J52,)</f>
        <v>20</v>
      </c>
      <c r="K53" s="13">
        <f>J53/I53</f>
        <v>1</v>
      </c>
      <c r="L53" s="6" t="s">
        <v>1</v>
      </c>
      <c r="M53" s="5" t="s">
        <v>37</v>
      </c>
      <c r="N53" s="5"/>
      <c r="O53" s="4"/>
    </row>
    <row r="54" spans="1:16" ht="15" thickTop="1" thickBot="1" x14ac:dyDescent="0.3">
      <c r="A54" s="66"/>
      <c r="B54" s="63"/>
      <c r="C54" s="63"/>
      <c r="D54" s="63"/>
      <c r="E54" s="117">
        <f>E45+1</f>
        <v>46179</v>
      </c>
      <c r="F54" s="118"/>
      <c r="G54" s="65"/>
      <c r="H54" s="64"/>
      <c r="I54" s="63"/>
      <c r="J54" s="62"/>
      <c r="K54" s="61"/>
      <c r="L54" s="6" t="s">
        <v>30</v>
      </c>
      <c r="M54" s="5" t="s">
        <v>31</v>
      </c>
      <c r="N54" s="5"/>
      <c r="O54" s="4"/>
    </row>
    <row r="55" spans="1:16" ht="28.5" thickTop="1" thickBot="1" x14ac:dyDescent="0.3">
      <c r="A55" s="60" t="s">
        <v>29</v>
      </c>
      <c r="B55" s="57" t="s">
        <v>28</v>
      </c>
      <c r="C55" s="57" t="s">
        <v>27</v>
      </c>
      <c r="D55" s="57" t="s">
        <v>26</v>
      </c>
      <c r="E55" s="59" t="s">
        <v>25</v>
      </c>
      <c r="F55" s="57" t="s">
        <v>24</v>
      </c>
      <c r="G55" s="58" t="s">
        <v>23</v>
      </c>
      <c r="H55" s="57" t="s">
        <v>22</v>
      </c>
      <c r="I55" s="57" t="s">
        <v>21</v>
      </c>
      <c r="J55" s="56" t="s">
        <v>20</v>
      </c>
      <c r="K55" s="55" t="s">
        <v>19</v>
      </c>
      <c r="L55" s="6" t="s">
        <v>18</v>
      </c>
      <c r="M55" s="5" t="s">
        <v>31</v>
      </c>
      <c r="N55" s="5"/>
      <c r="O55" s="50"/>
    </row>
    <row r="56" spans="1:16" ht="14.25" thickTop="1" x14ac:dyDescent="0.25">
      <c r="A56" s="44"/>
      <c r="B56" s="44"/>
      <c r="C56" s="54"/>
      <c r="D56" s="44"/>
      <c r="E56" s="45" t="s">
        <v>17</v>
      </c>
      <c r="F56" s="44"/>
      <c r="G56" s="54"/>
      <c r="H56" s="43">
        <v>2</v>
      </c>
      <c r="I56" s="41">
        <f>H56*10</f>
        <v>20</v>
      </c>
      <c r="J56" s="40">
        <f>SUM(J57:J63)/I56</f>
        <v>1</v>
      </c>
      <c r="K56" s="39" t="str">
        <f>SUM(J57:J63)&amp;" "&amp;"Hrs"&amp;" "&amp;"GRUPO 1"</f>
        <v>20 Hrs GRUPO 1</v>
      </c>
      <c r="L56" s="6" t="s">
        <v>8</v>
      </c>
      <c r="M56" s="5" t="s">
        <v>31</v>
      </c>
      <c r="N56" s="42"/>
      <c r="O56" s="49"/>
      <c r="P56" s="48" t="s">
        <v>7</v>
      </c>
    </row>
    <row r="57" spans="1:16" x14ac:dyDescent="0.25">
      <c r="A57" s="25">
        <v>895200</v>
      </c>
      <c r="B57" s="52" t="s">
        <v>14</v>
      </c>
      <c r="C57" s="53" t="s">
        <v>13</v>
      </c>
      <c r="D57" s="52">
        <v>3</v>
      </c>
      <c r="E57" s="23" t="s">
        <v>34</v>
      </c>
      <c r="F57" s="25" t="s">
        <v>36</v>
      </c>
      <c r="G57" s="23" t="s">
        <v>35</v>
      </c>
      <c r="H57" s="25">
        <v>1</v>
      </c>
      <c r="I57" s="25">
        <v>10</v>
      </c>
      <c r="J57" s="21">
        <f t="shared" ref="J57:J63" si="0">IF(H57&lt;&gt;"",H57*I57,"")</f>
        <v>10</v>
      </c>
      <c r="K57" s="38"/>
      <c r="L57" s="6" t="s">
        <v>8</v>
      </c>
      <c r="M57" s="5" t="s">
        <v>31</v>
      </c>
      <c r="N57" s="42"/>
      <c r="O57" s="46"/>
      <c r="P57" s="48" t="s">
        <v>7</v>
      </c>
    </row>
    <row r="58" spans="1:16" x14ac:dyDescent="0.25">
      <c r="A58" s="25">
        <v>895203</v>
      </c>
      <c r="B58" s="52" t="s">
        <v>14</v>
      </c>
      <c r="C58" s="53" t="s">
        <v>13</v>
      </c>
      <c r="D58" s="52">
        <v>3</v>
      </c>
      <c r="E58" s="30" t="s">
        <v>34</v>
      </c>
      <c r="F58" s="25" t="s">
        <v>33</v>
      </c>
      <c r="G58" s="23" t="s">
        <v>32</v>
      </c>
      <c r="H58" s="25">
        <v>1</v>
      </c>
      <c r="I58" s="25">
        <v>10</v>
      </c>
      <c r="J58" s="21">
        <f t="shared" si="0"/>
        <v>10</v>
      </c>
      <c r="K58" s="38"/>
      <c r="L58" s="6" t="s">
        <v>8</v>
      </c>
      <c r="M58" s="5" t="s">
        <v>31</v>
      </c>
      <c r="N58" s="42"/>
      <c r="O58" s="49"/>
      <c r="P58" s="48" t="s">
        <v>7</v>
      </c>
    </row>
    <row r="59" spans="1:16" hidden="1" x14ac:dyDescent="0.25">
      <c r="A59" s="34"/>
      <c r="B59" s="52"/>
      <c r="C59" s="53"/>
      <c r="D59" s="52"/>
      <c r="E59" s="30"/>
      <c r="F59" s="29"/>
      <c r="G59" s="28"/>
      <c r="H59" s="27"/>
      <c r="I59" s="27"/>
      <c r="J59" s="21" t="str">
        <f t="shared" si="0"/>
        <v/>
      </c>
      <c r="K59" s="38"/>
      <c r="L59" s="6" t="s">
        <v>8</v>
      </c>
      <c r="M59" s="5" t="s">
        <v>31</v>
      </c>
      <c r="N59" s="42"/>
      <c r="O59" s="49"/>
      <c r="P59" s="51" t="s">
        <v>9</v>
      </c>
    </row>
    <row r="60" spans="1:16" hidden="1" x14ac:dyDescent="0.25">
      <c r="A60" s="26"/>
      <c r="B60" s="52"/>
      <c r="C60" s="53"/>
      <c r="D60" s="52"/>
      <c r="E60" s="23"/>
      <c r="F60" s="22"/>
      <c r="G60" s="23"/>
      <c r="H60" s="22"/>
      <c r="I60" s="22"/>
      <c r="J60" s="21" t="str">
        <f t="shared" si="0"/>
        <v/>
      </c>
      <c r="K60" s="38"/>
      <c r="L60" s="6" t="s">
        <v>8</v>
      </c>
      <c r="M60" s="5" t="s">
        <v>31</v>
      </c>
      <c r="N60" s="42"/>
      <c r="O60" s="47"/>
      <c r="P60" s="51" t="s">
        <v>9</v>
      </c>
    </row>
    <row r="61" spans="1:16" hidden="1" x14ac:dyDescent="0.25">
      <c r="A61" s="25"/>
      <c r="B61" s="52"/>
      <c r="C61" s="53"/>
      <c r="D61" s="52"/>
      <c r="E61" s="35"/>
      <c r="F61" s="36"/>
      <c r="G61" s="35"/>
      <c r="H61" s="27"/>
      <c r="I61" s="27"/>
      <c r="J61" s="21" t="str">
        <f t="shared" si="0"/>
        <v/>
      </c>
      <c r="K61" s="38"/>
      <c r="L61" s="6" t="s">
        <v>8</v>
      </c>
      <c r="M61" s="5" t="s">
        <v>31</v>
      </c>
      <c r="N61" s="42"/>
      <c r="O61" s="49"/>
      <c r="P61" s="48" t="s">
        <v>7</v>
      </c>
    </row>
    <row r="62" spans="1:16" hidden="1" x14ac:dyDescent="0.25">
      <c r="A62" s="25"/>
      <c r="B62" s="52"/>
      <c r="C62" s="53"/>
      <c r="D62" s="52"/>
      <c r="E62" s="23"/>
      <c r="F62" s="22"/>
      <c r="G62" s="23"/>
      <c r="H62" s="22"/>
      <c r="I62" s="22"/>
      <c r="J62" s="21" t="str">
        <f t="shared" si="0"/>
        <v/>
      </c>
      <c r="K62" s="38"/>
      <c r="L62" s="6" t="s">
        <v>8</v>
      </c>
      <c r="M62" s="5" t="s">
        <v>31</v>
      </c>
      <c r="N62" s="42"/>
      <c r="O62" s="49"/>
      <c r="P62" s="48" t="s">
        <v>7</v>
      </c>
    </row>
    <row r="63" spans="1:16" hidden="1" x14ac:dyDescent="0.25">
      <c r="A63" s="25"/>
      <c r="B63" s="25"/>
      <c r="C63" s="23"/>
      <c r="D63" s="22"/>
      <c r="E63" s="23"/>
      <c r="F63" s="22"/>
      <c r="G63" s="23"/>
      <c r="H63" s="22"/>
      <c r="I63" s="22"/>
      <c r="J63" s="21" t="str">
        <f t="shared" si="0"/>
        <v/>
      </c>
      <c r="K63" s="38"/>
      <c r="L63" s="6" t="s">
        <v>8</v>
      </c>
      <c r="M63" s="5" t="s">
        <v>31</v>
      </c>
      <c r="N63" s="42"/>
      <c r="O63" s="49"/>
      <c r="P63" s="48" t="s">
        <v>5</v>
      </c>
    </row>
    <row r="64" spans="1:16" ht="14.25" thickBot="1" x14ac:dyDescent="0.3">
      <c r="A64" s="72"/>
      <c r="B64" s="71"/>
      <c r="C64" s="71"/>
      <c r="D64" s="71"/>
      <c r="E64" s="70" t="s">
        <v>2</v>
      </c>
      <c r="F64" s="69"/>
      <c r="G64" s="68"/>
      <c r="H64" s="15">
        <f>H56</f>
        <v>2</v>
      </c>
      <c r="I64" s="67">
        <f>H64*10</f>
        <v>20</v>
      </c>
      <c r="J64" s="14">
        <f>SUM(J57:J63,)</f>
        <v>20</v>
      </c>
      <c r="K64" s="13">
        <f>J64/I64</f>
        <v>1</v>
      </c>
      <c r="L64" s="6" t="s">
        <v>1</v>
      </c>
      <c r="M64" s="5" t="s">
        <v>31</v>
      </c>
      <c r="N64" s="5"/>
      <c r="O64" s="4"/>
    </row>
    <row r="65" spans="1:16" ht="15" thickTop="1" thickBot="1" x14ac:dyDescent="0.3">
      <c r="A65" s="66"/>
      <c r="B65" s="63"/>
      <c r="C65" s="63"/>
      <c r="D65" s="63"/>
      <c r="E65" s="117">
        <f>E54+1</f>
        <v>46180</v>
      </c>
      <c r="F65" s="118"/>
      <c r="G65" s="65"/>
      <c r="H65" s="64"/>
      <c r="I65" s="63"/>
      <c r="J65" s="62"/>
      <c r="K65" s="61"/>
      <c r="L65" s="6" t="s">
        <v>30</v>
      </c>
      <c r="M65" s="5" t="s">
        <v>0</v>
      </c>
      <c r="N65" s="5"/>
      <c r="O65" s="4"/>
    </row>
    <row r="66" spans="1:16" ht="28.5" thickTop="1" thickBot="1" x14ac:dyDescent="0.3">
      <c r="A66" s="60" t="s">
        <v>29</v>
      </c>
      <c r="B66" s="57" t="s">
        <v>28</v>
      </c>
      <c r="C66" s="57" t="s">
        <v>27</v>
      </c>
      <c r="D66" s="57" t="s">
        <v>26</v>
      </c>
      <c r="E66" s="59" t="s">
        <v>25</v>
      </c>
      <c r="F66" s="57" t="s">
        <v>24</v>
      </c>
      <c r="G66" s="58" t="s">
        <v>23</v>
      </c>
      <c r="H66" s="57" t="s">
        <v>22</v>
      </c>
      <c r="I66" s="57" t="s">
        <v>21</v>
      </c>
      <c r="J66" s="56" t="s">
        <v>20</v>
      </c>
      <c r="K66" s="55" t="s">
        <v>19</v>
      </c>
      <c r="L66" s="6" t="s">
        <v>18</v>
      </c>
      <c r="M66" s="5" t="s">
        <v>0</v>
      </c>
      <c r="N66" s="5"/>
      <c r="O66" s="50"/>
    </row>
    <row r="67" spans="1:16" ht="14.25" thickTop="1" x14ac:dyDescent="0.25">
      <c r="A67" s="44"/>
      <c r="B67" s="44"/>
      <c r="C67" s="54"/>
      <c r="D67" s="44"/>
      <c r="E67" s="45" t="s">
        <v>17</v>
      </c>
      <c r="F67" s="44"/>
      <c r="G67" s="54"/>
      <c r="H67" s="43">
        <v>2</v>
      </c>
      <c r="I67" s="41">
        <f>H67*10</f>
        <v>20</v>
      </c>
      <c r="J67" s="40">
        <f>SUM(J68:J72)/I67</f>
        <v>1</v>
      </c>
      <c r="K67" s="39" t="str">
        <f>SUM(J68:J72)&amp;" "&amp;"Hrs"&amp;" "&amp;"GRUPO 1"</f>
        <v>20 Hrs GRUPO 1</v>
      </c>
      <c r="L67" s="6" t="s">
        <v>8</v>
      </c>
      <c r="M67" s="5" t="s">
        <v>0</v>
      </c>
      <c r="N67" s="42"/>
      <c r="O67" s="49"/>
      <c r="P67" s="48" t="s">
        <v>7</v>
      </c>
    </row>
    <row r="68" spans="1:16" x14ac:dyDescent="0.25">
      <c r="A68" s="25">
        <v>895304</v>
      </c>
      <c r="B68" s="36" t="s">
        <v>14</v>
      </c>
      <c r="C68" s="35" t="s">
        <v>13</v>
      </c>
      <c r="D68" s="25">
        <v>3</v>
      </c>
      <c r="E68" s="35" t="s">
        <v>12</v>
      </c>
      <c r="F68" s="36" t="s">
        <v>16</v>
      </c>
      <c r="G68" s="35" t="s">
        <v>15</v>
      </c>
      <c r="H68" s="27">
        <v>2</v>
      </c>
      <c r="I68" s="27">
        <v>5</v>
      </c>
      <c r="J68" s="21">
        <f>IF(H68&lt;&gt;"",H68*I68,"")</f>
        <v>10</v>
      </c>
      <c r="K68" s="38"/>
      <c r="L68" s="6" t="s">
        <v>8</v>
      </c>
      <c r="M68" s="5" t="s">
        <v>0</v>
      </c>
      <c r="N68" s="50"/>
      <c r="O68" s="46"/>
      <c r="P68" s="48" t="s">
        <v>7</v>
      </c>
    </row>
    <row r="69" spans="1:16" x14ac:dyDescent="0.25">
      <c r="A69" s="26">
        <v>895305</v>
      </c>
      <c r="B69" s="25" t="s">
        <v>14</v>
      </c>
      <c r="C69" s="24" t="s">
        <v>13</v>
      </c>
      <c r="D69" s="22">
        <v>3</v>
      </c>
      <c r="E69" s="23" t="s">
        <v>12</v>
      </c>
      <c r="F69" s="22" t="s">
        <v>11</v>
      </c>
      <c r="G69" s="23" t="s">
        <v>10</v>
      </c>
      <c r="H69" s="22">
        <v>2</v>
      </c>
      <c r="I69" s="22">
        <v>5</v>
      </c>
      <c r="J69" s="21">
        <f>IF(H69&lt;&gt;"",H69*I69,"")</f>
        <v>10</v>
      </c>
      <c r="K69" s="38"/>
      <c r="L69" s="6" t="s">
        <v>8</v>
      </c>
      <c r="M69" s="5" t="s">
        <v>0</v>
      </c>
      <c r="N69" s="50"/>
      <c r="O69" s="49"/>
      <c r="P69" s="48" t="s">
        <v>7</v>
      </c>
    </row>
    <row r="70" spans="1:16" hidden="1" x14ac:dyDescent="0.25">
      <c r="A70" s="34"/>
      <c r="B70" s="52"/>
      <c r="C70" s="53"/>
      <c r="D70" s="52"/>
      <c r="E70" s="30"/>
      <c r="F70" s="29"/>
      <c r="G70" s="28"/>
      <c r="H70" s="27"/>
      <c r="I70" s="27"/>
      <c r="J70" s="21" t="str">
        <f>IF(H70&lt;&gt;"",H70*I70,"")</f>
        <v/>
      </c>
      <c r="K70" s="38"/>
      <c r="L70" s="6" t="s">
        <v>8</v>
      </c>
      <c r="M70" s="5" t="s">
        <v>0</v>
      </c>
      <c r="N70" s="50"/>
      <c r="O70" s="49"/>
      <c r="P70" s="51" t="s">
        <v>9</v>
      </c>
    </row>
    <row r="71" spans="1:16" hidden="1" x14ac:dyDescent="0.25">
      <c r="A71" s="26"/>
      <c r="B71" s="25"/>
      <c r="C71" s="24"/>
      <c r="D71" s="22"/>
      <c r="E71" s="23"/>
      <c r="F71" s="22"/>
      <c r="G71" s="23"/>
      <c r="H71" s="22"/>
      <c r="I71" s="22"/>
      <c r="J71" s="21" t="str">
        <f>IF(H71&lt;&gt;"",H71*I71,"")</f>
        <v/>
      </c>
      <c r="K71" s="38"/>
      <c r="L71" s="6" t="s">
        <v>8</v>
      </c>
      <c r="M71" s="5" t="s">
        <v>0</v>
      </c>
      <c r="N71" s="50"/>
      <c r="O71" s="47"/>
      <c r="P71" s="51" t="s">
        <v>9</v>
      </c>
    </row>
    <row r="72" spans="1:16" hidden="1" x14ac:dyDescent="0.25">
      <c r="A72" s="26"/>
      <c r="B72" s="25"/>
      <c r="C72" s="24"/>
      <c r="D72" s="22"/>
      <c r="E72" s="23"/>
      <c r="F72" s="22"/>
      <c r="G72" s="23"/>
      <c r="H72" s="22"/>
      <c r="I72" s="22"/>
      <c r="J72" s="21" t="str">
        <f>IF(H72&lt;&gt;"",H72*I72,"")</f>
        <v/>
      </c>
      <c r="K72" s="38"/>
      <c r="L72" s="6" t="s">
        <v>8</v>
      </c>
      <c r="M72" s="5" t="s">
        <v>0</v>
      </c>
      <c r="N72" s="50"/>
      <c r="O72" s="49"/>
      <c r="P72" s="48" t="s">
        <v>7</v>
      </c>
    </row>
    <row r="73" spans="1:16" ht="14.25" thickBot="1" x14ac:dyDescent="0.3">
      <c r="A73" s="20"/>
      <c r="B73" s="19"/>
      <c r="C73" s="19"/>
      <c r="D73" s="19"/>
      <c r="E73" s="18" t="s">
        <v>2</v>
      </c>
      <c r="F73" s="17"/>
      <c r="G73" s="16"/>
      <c r="H73" s="15">
        <f>H67</f>
        <v>2</v>
      </c>
      <c r="I73" s="14">
        <f>H73*10</f>
        <v>20</v>
      </c>
      <c r="J73" s="14">
        <f>SUM(J68:J72,)</f>
        <v>20</v>
      </c>
      <c r="K73" s="13">
        <f>J73/I73</f>
        <v>1</v>
      </c>
      <c r="L73" s="6" t="s">
        <v>1</v>
      </c>
      <c r="M73" s="5" t="s">
        <v>0</v>
      </c>
      <c r="N73" s="5"/>
      <c r="O73" s="4"/>
    </row>
    <row r="74" spans="1:16" ht="14.25" thickTop="1" x14ac:dyDescent="0.25">
      <c r="A74" s="9"/>
      <c r="B74" s="9"/>
      <c r="C74" s="9"/>
      <c r="D74" s="12"/>
      <c r="E74" s="9"/>
      <c r="F74" s="11"/>
      <c r="G74" s="10"/>
      <c r="H74" s="9"/>
      <c r="I74" s="9"/>
      <c r="J74" s="8"/>
      <c r="K74" s="7"/>
      <c r="L74" s="6"/>
      <c r="M74" s="5"/>
      <c r="N74" s="5"/>
      <c r="O74" s="4"/>
    </row>
    <row r="75" spans="1:16" x14ac:dyDescent="0.25">
      <c r="A75" s="9"/>
      <c r="B75" s="9"/>
      <c r="C75" s="9"/>
      <c r="D75" s="12"/>
      <c r="E75" s="9"/>
      <c r="F75" s="11"/>
      <c r="G75" s="10"/>
      <c r="H75" s="9"/>
      <c r="I75" s="9"/>
      <c r="J75" s="8"/>
      <c r="K75" s="7"/>
      <c r="L75" s="6"/>
      <c r="M75" s="5"/>
      <c r="N75" s="5"/>
      <c r="O75" s="4"/>
    </row>
    <row r="76" spans="1:16" x14ac:dyDescent="0.25">
      <c r="A76" s="9"/>
      <c r="B76" s="9"/>
      <c r="C76" s="9"/>
      <c r="D76" s="12"/>
      <c r="E76" s="9"/>
      <c r="F76" s="11"/>
      <c r="G76" s="10"/>
      <c r="H76" s="9"/>
      <c r="I76" s="9"/>
      <c r="J76" s="8"/>
      <c r="K76" s="7"/>
      <c r="L76" s="6"/>
      <c r="M76" s="5"/>
      <c r="N76" s="5"/>
      <c r="O76" s="4"/>
    </row>
    <row r="77" spans="1:16" x14ac:dyDescent="0.25">
      <c r="A77" s="9"/>
      <c r="B77" s="9"/>
      <c r="C77" s="9"/>
      <c r="D77" s="12"/>
      <c r="E77" s="9"/>
      <c r="F77" s="11"/>
      <c r="G77" s="10"/>
      <c r="H77" s="9"/>
      <c r="I77" s="9"/>
      <c r="J77" s="8"/>
      <c r="K77" s="7"/>
      <c r="L77" s="6"/>
      <c r="M77" s="5"/>
      <c r="N77" s="5"/>
      <c r="O77" s="4"/>
    </row>
    <row r="78" spans="1:16" x14ac:dyDescent="0.25">
      <c r="A78" s="9"/>
      <c r="B78" s="9"/>
      <c r="C78" s="9"/>
      <c r="D78" s="12"/>
      <c r="E78" s="9"/>
      <c r="F78" s="11"/>
      <c r="G78" s="10"/>
      <c r="H78" s="9"/>
      <c r="I78" s="9"/>
      <c r="J78" s="8"/>
      <c r="K78" s="7"/>
      <c r="L78" s="6"/>
      <c r="M78" s="5"/>
      <c r="N78" s="5"/>
      <c r="O78" s="4"/>
    </row>
    <row r="79" spans="1:16" x14ac:dyDescent="0.25">
      <c r="A79" s="9"/>
      <c r="B79" s="9"/>
      <c r="C79" s="9"/>
      <c r="D79" s="12"/>
      <c r="E79" s="9"/>
      <c r="F79" s="11"/>
      <c r="G79" s="10"/>
      <c r="H79" s="9"/>
      <c r="I79" s="9"/>
      <c r="J79" s="8"/>
      <c r="K79" s="7"/>
      <c r="L79" s="6"/>
      <c r="M79" s="5"/>
      <c r="N79" s="5"/>
      <c r="O79" s="4"/>
    </row>
    <row r="80" spans="1:16" x14ac:dyDescent="0.25">
      <c r="A80" s="9"/>
      <c r="B80" s="9"/>
      <c r="C80" s="9"/>
      <c r="D80" s="12"/>
      <c r="E80" s="9"/>
      <c r="F80" s="11"/>
      <c r="G80" s="10"/>
      <c r="H80" s="9"/>
      <c r="I80" s="9"/>
      <c r="J80" s="8"/>
      <c r="K80" s="7"/>
      <c r="L80" s="6"/>
      <c r="M80" s="5"/>
      <c r="N80" s="5"/>
      <c r="O80" s="4"/>
    </row>
    <row r="81" spans="1:15" x14ac:dyDescent="0.25">
      <c r="A81" s="9"/>
      <c r="B81" s="9"/>
      <c r="C81" s="9"/>
      <c r="D81" s="12"/>
      <c r="E81" s="9"/>
      <c r="F81" s="11"/>
      <c r="G81" s="10"/>
      <c r="H81" s="9"/>
      <c r="I81" s="9"/>
      <c r="J81" s="8"/>
      <c r="K81" s="7"/>
      <c r="L81" s="6"/>
      <c r="M81" s="5"/>
      <c r="N81" s="5"/>
      <c r="O81" s="4"/>
    </row>
    <row r="82" spans="1:15" x14ac:dyDescent="0.25">
      <c r="A82" s="9"/>
      <c r="B82" s="9"/>
      <c r="C82" s="9"/>
      <c r="D82" s="12"/>
      <c r="E82" s="9"/>
      <c r="F82" s="11"/>
      <c r="G82" s="10"/>
      <c r="H82" s="9"/>
      <c r="I82" s="9"/>
      <c r="J82" s="8"/>
      <c r="K82" s="7"/>
      <c r="L82" s="6"/>
      <c r="M82" s="5"/>
      <c r="N82" s="5"/>
      <c r="O82" s="4"/>
    </row>
    <row r="83" spans="1:15" x14ac:dyDescent="0.25">
      <c r="A83" s="9"/>
      <c r="B83" s="9"/>
      <c r="C83" s="9"/>
      <c r="D83" s="12"/>
      <c r="E83" s="9"/>
      <c r="F83" s="11"/>
      <c r="G83" s="10"/>
      <c r="H83" s="9"/>
      <c r="I83" s="9"/>
      <c r="J83" s="8"/>
      <c r="K83" s="7"/>
      <c r="L83" s="6"/>
      <c r="M83" s="5"/>
      <c r="N83" s="5"/>
      <c r="O83" s="4"/>
    </row>
    <row r="84" spans="1:15" x14ac:dyDescent="0.25">
      <c r="A84" s="9"/>
      <c r="B84" s="9"/>
      <c r="C84" s="9"/>
      <c r="D84" s="12"/>
      <c r="E84" s="9"/>
      <c r="F84" s="11"/>
      <c r="G84" s="10"/>
      <c r="H84" s="9"/>
      <c r="I84" s="9"/>
      <c r="J84" s="8"/>
      <c r="K84" s="7"/>
      <c r="L84" s="6"/>
      <c r="M84" s="5"/>
      <c r="N84" s="5"/>
      <c r="O84" s="4"/>
    </row>
    <row r="85" spans="1:15" x14ac:dyDescent="0.25">
      <c r="A85" s="9"/>
      <c r="B85" s="9"/>
      <c r="C85" s="9"/>
      <c r="D85" s="12"/>
      <c r="E85" s="9"/>
      <c r="F85" s="11"/>
      <c r="G85" s="10"/>
      <c r="H85" s="9"/>
      <c r="I85" s="9"/>
      <c r="J85" s="8"/>
      <c r="K85" s="7"/>
      <c r="L85" s="6"/>
      <c r="M85" s="5"/>
      <c r="N85" s="5"/>
      <c r="O85" s="4"/>
    </row>
    <row r="86" spans="1:15" x14ac:dyDescent="0.25">
      <c r="A86" s="9"/>
      <c r="B86" s="9"/>
      <c r="C86" s="9"/>
      <c r="D86" s="12"/>
      <c r="E86" s="9"/>
      <c r="F86" s="11"/>
      <c r="G86" s="10"/>
      <c r="H86" s="9"/>
      <c r="I86" s="9"/>
      <c r="J86" s="8"/>
      <c r="K86" s="7"/>
      <c r="L86" s="6"/>
      <c r="M86" s="5"/>
      <c r="N86" s="5"/>
      <c r="O86" s="4"/>
    </row>
    <row r="87" spans="1:15" x14ac:dyDescent="0.25">
      <c r="A87" s="9"/>
      <c r="B87" s="9"/>
      <c r="C87" s="9"/>
      <c r="D87" s="12"/>
      <c r="E87" s="9"/>
      <c r="F87" s="11"/>
      <c r="G87" s="10"/>
      <c r="H87" s="9"/>
      <c r="I87" s="9"/>
      <c r="J87" s="8"/>
      <c r="K87" s="7"/>
      <c r="L87" s="6"/>
      <c r="M87" s="5"/>
      <c r="N87" s="5"/>
      <c r="O87" s="4"/>
    </row>
    <row r="88" spans="1:15" x14ac:dyDescent="0.25">
      <c r="A88" s="9"/>
      <c r="B88" s="9"/>
      <c r="C88" s="9"/>
      <c r="D88" s="12"/>
      <c r="E88" s="9"/>
      <c r="F88" s="11"/>
      <c r="G88" s="10"/>
      <c r="H88" s="9"/>
      <c r="I88" s="9"/>
      <c r="J88" s="8"/>
      <c r="K88" s="7"/>
      <c r="L88" s="6"/>
      <c r="M88" s="5"/>
      <c r="N88" s="5"/>
      <c r="O88" s="4"/>
    </row>
    <row r="89" spans="1:15" x14ac:dyDescent="0.25">
      <c r="A89" s="9"/>
      <c r="B89" s="9"/>
      <c r="C89" s="9"/>
      <c r="D89" s="12"/>
      <c r="E89" s="9"/>
      <c r="F89" s="11"/>
      <c r="G89" s="10"/>
      <c r="H89" s="9"/>
      <c r="I89" s="9"/>
      <c r="J89" s="8"/>
      <c r="K89" s="7"/>
      <c r="L89" s="6"/>
      <c r="M89" s="5"/>
      <c r="N89" s="5"/>
      <c r="O89" s="4"/>
    </row>
    <row r="90" spans="1:15" x14ac:dyDescent="0.25">
      <c r="A90" s="9"/>
      <c r="B90" s="9"/>
      <c r="C90" s="9"/>
      <c r="D90" s="12"/>
      <c r="E90" s="9"/>
      <c r="F90" s="11"/>
      <c r="G90" s="10"/>
      <c r="H90" s="9"/>
      <c r="I90" s="9"/>
      <c r="J90" s="8"/>
      <c r="K90" s="7"/>
      <c r="L90" s="6"/>
      <c r="M90" s="5"/>
      <c r="N90" s="5"/>
      <c r="O90" s="4"/>
    </row>
    <row r="91" spans="1:15" x14ac:dyDescent="0.25">
      <c r="A91" s="9"/>
      <c r="B91" s="9"/>
      <c r="C91" s="9"/>
      <c r="D91" s="12"/>
      <c r="E91" s="9"/>
      <c r="F91" s="11"/>
      <c r="G91" s="10"/>
      <c r="H91" s="9"/>
      <c r="I91" s="9"/>
      <c r="J91" s="8"/>
      <c r="K91" s="7"/>
      <c r="L91" s="6"/>
      <c r="M91" s="5"/>
      <c r="N91" s="5"/>
      <c r="O91" s="4"/>
    </row>
  </sheetData>
  <autoFilter ref="A10:P73" xr:uid="{00000000-0009-0000-0000-000000000000}">
    <filterColumn colId="4">
      <customFilters>
        <customFilter operator="notEqual" val=" "/>
      </customFilters>
    </filterColumn>
  </autoFilter>
  <mergeCells count="9">
    <mergeCell ref="E45:F45"/>
    <mergeCell ref="E54:F54"/>
    <mergeCell ref="E65:F65"/>
    <mergeCell ref="E8:G8"/>
    <mergeCell ref="I8:K8"/>
    <mergeCell ref="E9:F9"/>
    <mergeCell ref="E18:F18"/>
    <mergeCell ref="E27:F27"/>
    <mergeCell ref="E36:F36"/>
  </mergeCells>
  <conditionalFormatting sqref="B1:B7">
    <cfRule type="cellIs" dxfId="1" priority="1" stopIfTrue="1" operator="greaterThan">
      <formula>0.9</formula>
    </cfRule>
    <cfRule type="cellIs" dxfId="0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E-XX</vt:lpstr>
      <vt:lpstr>Programa</vt:lpstr>
      <vt:lpstr>E-23</vt:lpstr>
      <vt:lpstr>'E-23'!Print_Area</vt:lpstr>
      <vt:lpstr>'E-XX'!Print_Area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Paucara</dc:creator>
  <cp:lastModifiedBy>Dionisio Paucara</cp:lastModifiedBy>
  <dcterms:created xsi:type="dcterms:W3CDTF">2026-06-02T11:00:01Z</dcterms:created>
  <dcterms:modified xsi:type="dcterms:W3CDTF">2026-06-02T11:13:25Z</dcterms:modified>
</cp:coreProperties>
</file>